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or\Documents\CURSOS\Excel\"/>
    </mc:Choice>
  </mc:AlternateContent>
  <xr:revisionPtr revIDLastSave="0" documentId="13_ncr:1_{F708BA16-D674-40FC-9974-0155742574E1}" xr6:coauthVersionLast="47" xr6:coauthVersionMax="47" xr10:uidLastSave="{00000000-0000-0000-0000-000000000000}"/>
  <bookViews>
    <workbookView xWindow="-120" yWindow="-120" windowWidth="20730" windowHeight="111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/>
  <c r="D24" i="3"/>
</calcChain>
</file>

<file path=xl/sharedStrings.xml><?xml version="1.0" encoding="utf-8"?>
<sst xmlns="http://schemas.openxmlformats.org/spreadsheetml/2006/main" count="2022" uniqueCount="327">
  <si>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</si>
  <si>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</si>
  <si>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</si>
  <si>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</si>
  <si>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</si>
  <si>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</si>
  <si>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</si>
  <si>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</si>
  <si>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</si>
  <si>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</si>
  <si>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</si>
  <si>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</si>
  <si>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</si>
  <si>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</si>
  <si>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</si>
  <si>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</si>
  <si>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</si>
  <si>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</si>
  <si>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</si>
  <si>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</si>
  <si>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</si>
  <si>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</si>
  <si>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</si>
  <si>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</si>
  <si>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</si>
  <si>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</si>
  <si>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</si>
  <si>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</si>
  <si>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</si>
  <si>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</si>
  <si>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</si>
  <si>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</si>
  <si>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</si>
  <si>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</si>
  <si>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</si>
  <si>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</si>
  <si>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</si>
  <si>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</si>
  <si>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</si>
  <si>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</si>
  <si>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</si>
  <si>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</si>
  <si>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</si>
  <si>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</si>
  <si>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</si>
  <si>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</si>
  <si>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</si>
  <si>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</si>
  <si>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</si>
  <si>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</si>
  <si>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</si>
  <si>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</si>
  <si>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</si>
  <si>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</si>
  <si>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</si>
  <si>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</si>
  <si>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</si>
  <si>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</si>
  <si>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</si>
  <si>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</si>
  <si>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</si>
  <si>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</si>
  <si>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</si>
  <si>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</si>
  <si>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</si>
  <si>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</si>
  <si>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</si>
  <si>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</si>
  <si>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</si>
  <si>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</si>
  <si>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</si>
  <si>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</si>
  <si>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</si>
  <si>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</si>
  <si>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</si>
  <si>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</si>
  <si>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</si>
  <si>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</si>
  <si>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</si>
  <si>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</si>
  <si>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</si>
  <si>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</si>
  <si>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</si>
  <si>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</si>
  <si>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</si>
  <si>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</si>
  <si>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</si>
  <si>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</si>
  <si>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</si>
  <si>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</si>
  <si>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</si>
  <si>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</si>
  <si>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</si>
  <si>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</si>
  <si>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</si>
  <si>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</si>
  <si>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</si>
  <si>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</si>
  <si>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</si>
  <si>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</si>
  <si>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</si>
  <si>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</si>
  <si>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</si>
  <si>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</si>
  <si>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</si>
  <si>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</si>
  <si>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</si>
  <si>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</si>
  <si>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</si>
  <si>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</si>
  <si>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</si>
  <si>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</si>
  <si>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</si>
  <si>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</si>
  <si>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</si>
  <si>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</si>
  <si>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</si>
  <si>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</si>
  <si>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</si>
  <si>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</si>
  <si>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</si>
  <si>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</si>
  <si>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</si>
  <si>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</si>
  <si>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</si>
  <si>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</si>
  <si>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</si>
  <si>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</si>
  <si>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</si>
  <si>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</si>
  <si>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</si>
  <si>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</si>
  <si>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</si>
  <si>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</si>
  <si>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</si>
  <si>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</si>
  <si>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</si>
  <si>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</si>
  <si>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</si>
  <si>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</si>
  <si>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</si>
  <si>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</si>
  <si>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</si>
  <si>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</si>
  <si>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</si>
  <si>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</si>
  <si>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</si>
  <si>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</si>
  <si>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</si>
  <si>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</si>
  <si>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</si>
  <si>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</si>
  <si>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</si>
  <si>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</si>
  <si>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</si>
  <si>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</si>
  <si>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</si>
  <si>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</si>
  <si>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</si>
  <si>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</si>
  <si>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</si>
  <si>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</si>
  <si>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</si>
  <si>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</si>
  <si>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</si>
  <si>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</si>
  <si>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</si>
  <si>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</si>
  <si>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</si>
  <si>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</si>
  <si>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</si>
  <si>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</si>
  <si>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</si>
  <si>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</si>
  <si>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</si>
  <si>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</si>
  <si>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</si>
  <si>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</si>
  <si>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</si>
  <si>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</si>
  <si>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</si>
  <si>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</si>
  <si>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</si>
  <si>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</si>
  <si>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</si>
  <si>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</si>
  <si>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</si>
  <si>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</si>
  <si>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</si>
  <si>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</si>
  <si>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</si>
  <si>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</si>
  <si>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</si>
  <si>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</si>
  <si>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</si>
  <si>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</si>
  <si>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</si>
  <si>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</si>
  <si>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</si>
  <si>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</si>
  <si>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</si>
  <si>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</si>
  <si>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</si>
  <si>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</si>
  <si>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</si>
  <si>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</si>
  <si>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</si>
  <si>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</si>
  <si>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</si>
  <si>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</si>
  <si>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</si>
  <si>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</si>
  <si>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</si>
  <si>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</si>
  <si>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</si>
  <si>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</si>
  <si>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</si>
  <si>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</si>
  <si>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</si>
  <si>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</si>
  <si>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</si>
  <si>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</si>
  <si>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</si>
  <si>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</si>
  <si>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</si>
  <si>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</si>
  <si>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</si>
  <si>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</si>
  <si>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</si>
  <si>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</si>
  <si>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</si>
  <si>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</si>
  <si>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</si>
  <si>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</si>
  <si>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</si>
  <si>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</si>
  <si>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</si>
  <si>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</si>
  <si>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</si>
  <si>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</si>
  <si>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</si>
  <si>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</si>
  <si>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</si>
  <si>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</si>
  <si>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</si>
  <si>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</si>
  <si>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</si>
  <si>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</si>
  <si>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</si>
  <si>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</si>
  <si>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</si>
  <si>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</si>
  <si>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</si>
  <si>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</si>
  <si>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</si>
  <si>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</si>
  <si>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</si>
  <si>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</si>
  <si>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</si>
  <si>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</si>
  <si>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</si>
  <si>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</si>
  <si>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</si>
  <si>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</si>
  <si>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</si>
  <si>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</si>
  <si>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</si>
  <si>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</si>
  <si>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</si>
  <si>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</si>
  <si>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</si>
  <si>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</si>
  <si>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</si>
  <si>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</si>
  <si>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</si>
  <si>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</si>
  <si>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</si>
  <si>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</si>
  <si>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</si>
  <si>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</si>
  <si>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</si>
  <si>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</si>
  <si>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</si>
  <si>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</si>
  <si>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</si>
  <si>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</si>
  <si>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</si>
  <si>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</si>
  <si>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</si>
  <si>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</si>
  <si>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</si>
  <si>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</si>
  <si>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</si>
  <si>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</si>
  <si>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</si>
  <si>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</si>
  <si>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</si>
  <si>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</si>
  <si>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</si>
  <si>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</si>
  <si>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</si>
  <si>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</si>
  <si>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</si>
  <si>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</si>
  <si>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</si>
  <si>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</si>
  <si>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</si>
  <si>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</si>
  <si>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</si>
  <si>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</si>
  <si>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</si>
  <si>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</si>
  <si>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</si>
  <si>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</si>
  <si>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</si>
  <si>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</si>
  <si>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1- Pergunta de négocio:</t>
  </si>
  <si>
    <t>2- Pergunta de négocio:</t>
  </si>
  <si>
    <r>
      <t xml:space="preserve">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planos anuais separado por auto renovação ou que não é autorenovação</t>
    </r>
  </si>
  <si>
    <r>
      <t>Qual o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planos </t>
    </r>
    <r>
      <rPr>
        <b/>
        <sz val="11"/>
        <color theme="1"/>
        <rFont val="Aptos Narrow"/>
        <family val="2"/>
        <scheme val="minor"/>
      </rPr>
      <t>anuais</t>
    </r>
    <r>
      <rPr>
        <sz val="11"/>
        <color theme="1"/>
        <rFont val="Aptos Narrow"/>
        <family val="2"/>
        <scheme val="minor"/>
      </rPr>
      <t xml:space="preserve"> (contento todas assinaturas agregadas)</t>
    </r>
  </si>
  <si>
    <t>XBOX GAME PASS SUBSCRIPTIONS SALES</t>
  </si>
  <si>
    <t>3 - Pergunta de négocio:</t>
  </si>
  <si>
    <t>Total de Vendas de Assinaturas do EA play</t>
  </si>
  <si>
    <t>Soma de EA Play Season Pass</t>
  </si>
  <si>
    <t>4- Total Minecraft Season pass</t>
  </si>
  <si>
    <t>Soma de Minecraft Season Pass Price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</si>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</sst>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_-"/>
    <numFmt numFmtId="166" formatCode="&quot;R$&quot;#,##0.00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UGOI"/>
    </font>
    <font>
      <b/>
      <sz val="15"/>
      <color rgb="FF22C55E"/>
      <name val="Segoe UI"/>
      <family val="2"/>
    </font>
    <font>
      <b/>
      <sz val="15"/>
      <color rgb="FF22C55E"/>
      <name val="Aptos Narrow"/>
      <family val="2"/>
      <scheme val="minor"/>
    </font>
    <font>
      <sz val="11"/>
      <color rgb="FF22C55E"/>
      <name val="Aptos Narrow"/>
      <family val="2"/>
      <scheme val="minor"/>
    </font>
    <font>
      <b/>
      <sz val="18"/>
      <color rgb="FF22C55E"/>
      <name val="SUGOI"/>
    </font>
    <font>
      <b/>
      <sz val="20"/>
      <color rgb="FF22C55E"/>
      <name val="SUGOI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2" xfId="1" applyFont="1" applyBorder="1"/>
    <xf numFmtId="0" fontId="7" fillId="4" borderId="0" xfId="0" applyFont="1" applyFill="1"/>
    <xf numFmtId="0" fontId="4" fillId="0" borderId="2" xfId="1" applyFont="1" applyBorder="1"/>
    <xf numFmtId="0" fontId="6" fillId="0" borderId="2" xfId="1" applyFont="1" applyBorder="1"/>
    <xf numFmtId="0" fontId="0" fillId="0" borderId="0" xfId="0" applyNumberFormat="1"/>
    <xf numFmtId="166" fontId="0" fillId="0" borderId="0" xfId="0" applyNumberFormat="1"/>
    <xf numFmtId="0" fontId="0" fillId="0" borderId="2" xfId="0" applyBorder="1"/>
    <xf numFmtId="0" fontId="8" fillId="0" borderId="2" xfId="1" applyFont="1" applyBorder="1" applyAlignment="1">
      <alignment horizontal="left" indent="8"/>
    </xf>
    <xf numFmtId="0" fontId="9" fillId="0" borderId="2" xfId="1" applyFont="1" applyBorder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81440309-A40A-4457-992D-B45B16CE53BD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7DD35B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 de Vendas 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_-"R$"\ * #,##0.00_-;\-"R$"\ * #,##0.00_-;_-"R$"\ * "-"??_-;_-@_-</c:formatCode>
                <c:ptCount val="2"/>
                <c:pt idx="0">
                  <c:v>3630</c:v>
                </c:pt>
                <c:pt idx="1">
                  <c:v>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0-4CDA-AD45-7EBC6E749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6622312"/>
        <c:axId val="366625832"/>
      </c:barChart>
      <c:catAx>
        <c:axId val="366622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625832"/>
        <c:crosses val="autoZero"/>
        <c:auto val="1"/>
        <c:lblAlgn val="ctr"/>
        <c:lblOffset val="100"/>
        <c:noMultiLvlLbl val="0"/>
      </c:catAx>
      <c:valAx>
        <c:axId val="3666258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366622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25512</xdr:colOff>
      <xdr:row>0</xdr:row>
      <xdr:rowOff>0</xdr:rowOff>
    </xdr:from>
    <xdr:to>
      <xdr:col>2</xdr:col>
      <xdr:colOff>585107</xdr:colOff>
      <xdr:row>4</xdr:row>
      <xdr:rowOff>12703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1AFC1733-484D-4A5F-97A5-36630890B3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0" r="73818"/>
        <a:stretch>
          <a:fillRect/>
        </a:stretch>
      </xdr:blipFill>
      <xdr:spPr>
        <a:xfrm>
          <a:off x="2148226" y="0"/>
          <a:ext cx="804524" cy="1291774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69056</xdr:rowOff>
    </xdr:from>
    <xdr:to>
      <xdr:col>0</xdr:col>
      <xdr:colOff>2698750</xdr:colOff>
      <xdr:row>16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Subscription Type">
              <a:extLst>
                <a:ext uri="{FF2B5EF4-FFF2-40B4-BE49-F238E27FC236}">
                  <a16:creationId xmlns:a16="http://schemas.microsoft.com/office/drawing/2014/main" id="{2AAB19A9-5434-4F4A-A907-3F9B4A8933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04181"/>
              <a:ext cx="2698750" cy="18676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238125</xdr:colOff>
      <xdr:row>4</xdr:row>
      <xdr:rowOff>92869</xdr:rowOff>
    </xdr:from>
    <xdr:to>
      <xdr:col>12</xdr:col>
      <xdr:colOff>476249</xdr:colOff>
      <xdr:row>16</xdr:row>
      <xdr:rowOff>1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E0671A01-7C23-45DA-D977-53621BCDCA40}"/>
            </a:ext>
          </a:extLst>
        </xdr:cNvPr>
        <xdr:cNvGrpSpPr/>
      </xdr:nvGrpSpPr>
      <xdr:grpSpPr>
        <a:xfrm>
          <a:off x="3270250" y="1378744"/>
          <a:ext cx="6111874" cy="2193132"/>
          <a:chOff x="2774156" y="1404937"/>
          <a:chExt cx="5715000" cy="2059781"/>
        </a:xfrm>
      </xdr:grpSpPr>
      <xdr:sp macro="" textlink="C̳álculos!D24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766C6341-3970-7C1B-4244-DD5E458D69B5}"/>
              </a:ext>
            </a:extLst>
          </xdr:cNvPr>
          <xdr:cNvSpPr/>
        </xdr:nvSpPr>
        <xdr:spPr>
          <a:xfrm>
            <a:off x="2797969" y="1428750"/>
            <a:ext cx="5667375" cy="1881187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3AB7994B-D058-4793-899F-1DA9C376B822}" type="TxLink">
              <a:rPr lang="en-US" sz="6600" b="1" i="0" u="none" strike="noStrike">
                <a:solidFill>
                  <a:srgbClr val="2AE6B1"/>
                </a:solidFill>
                <a:latin typeface="Aptos Narrow"/>
              </a:rPr>
              <a:pPr algn="r"/>
              <a:t>R$2.340,00</a:t>
            </a:fld>
            <a:endParaRPr lang="pt-BR" sz="6600" b="1">
              <a:solidFill>
                <a:srgbClr val="2AE6B1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BA2DAF46-E35F-44DD-8E4C-8A33FD994A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81311" y="1893093"/>
            <a:ext cx="1512095" cy="1571625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35FAF417-165A-97F9-A9D3-6FFE51F7E11E}"/>
              </a:ext>
            </a:extLst>
          </xdr:cNvPr>
          <xdr:cNvSpPr/>
        </xdr:nvSpPr>
        <xdr:spPr>
          <a:xfrm>
            <a:off x="2774156" y="1404937"/>
            <a:ext cx="5715000" cy="631032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SUBSCRITIONS</a:t>
            </a:r>
            <a:r>
              <a:rPr lang="pt-BR" sz="18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13</xdr:col>
      <xdr:colOff>283368</xdr:colOff>
      <xdr:row>4</xdr:row>
      <xdr:rowOff>92867</xdr:rowOff>
    </xdr:from>
    <xdr:to>
      <xdr:col>23</xdr:col>
      <xdr:colOff>380999</xdr:colOff>
      <xdr:row>15</xdr:row>
      <xdr:rowOff>59531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279D24A3-BF88-B564-E1F2-12EDF284B5E2}"/>
            </a:ext>
          </a:extLst>
        </xdr:cNvPr>
        <xdr:cNvGrpSpPr/>
      </xdr:nvGrpSpPr>
      <xdr:grpSpPr>
        <a:xfrm>
          <a:off x="9792493" y="1378742"/>
          <a:ext cx="6130131" cy="2062164"/>
          <a:chOff x="8891587" y="1390649"/>
          <a:chExt cx="5715000" cy="1905000"/>
        </a:xfrm>
      </xdr:grpSpPr>
      <xdr:sp macro="" textlink="C̳álculos!D36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3F1251E9-85CB-4CF3-A601-10263E08AD95}"/>
              </a:ext>
            </a:extLst>
          </xdr:cNvPr>
          <xdr:cNvSpPr/>
        </xdr:nvSpPr>
        <xdr:spPr>
          <a:xfrm>
            <a:off x="8915400" y="1414462"/>
            <a:ext cx="5667375" cy="1881187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r"/>
            <a:fld id="{B0733DE4-932C-4745-9172-B64FA257F684}" type="TxLink">
              <a:rPr lang="en-US" sz="6600" b="1" i="0" u="none" strike="noStrike">
                <a:solidFill>
                  <a:srgbClr val="2AE6B1"/>
                </a:solidFill>
                <a:latin typeface="Aptos Narrow"/>
                <a:ea typeface="+mn-ea"/>
                <a:cs typeface="+mn-cs"/>
              </a:rPr>
              <a:pPr marL="0" indent="0" algn="r"/>
              <a:t>R$2.940,00</a:t>
            </a:fld>
            <a:endParaRPr lang="pt-BR" sz="6600" b="1" i="0" u="none" strike="noStrike">
              <a:solidFill>
                <a:srgbClr val="2AE6B1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BC2F4391-190C-4CDA-B800-01B3532FD98F}"/>
              </a:ext>
            </a:extLst>
          </xdr:cNvPr>
          <xdr:cNvSpPr/>
        </xdr:nvSpPr>
        <xdr:spPr>
          <a:xfrm>
            <a:off x="8891587" y="1390649"/>
            <a:ext cx="5715000" cy="631032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SUBSCRITIONS</a:t>
            </a:r>
            <a:r>
              <a:rPr lang="pt-BR" sz="18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MINECRAFT SEASON PASS</a:t>
            </a:r>
            <a:endPara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245334D2-F08A-456C-91EF-C0709D73847D}"/>
              </a:ext>
            </a:extLst>
          </xdr:cNvPr>
          <xdr:cNvGrpSpPr/>
        </xdr:nvGrpSpPr>
        <xdr:grpSpPr>
          <a:xfrm>
            <a:off x="9048750" y="2214562"/>
            <a:ext cx="1369218" cy="738188"/>
            <a:chOff x="3495675" y="5400674"/>
            <a:chExt cx="1549476" cy="752476"/>
          </a:xfrm>
        </xdr:grpSpPr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191FA88C-81E8-18B8-9607-EC32632F18E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5" name="Gráfico 24">
              <a:extLst>
                <a:ext uri="{FF2B5EF4-FFF2-40B4-BE49-F238E27FC236}">
                  <a16:creationId xmlns:a16="http://schemas.microsoft.com/office/drawing/2014/main" id="{912F0667-2F05-BE58-CE3B-B1DFF308C29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166687</xdr:colOff>
      <xdr:row>18</xdr:row>
      <xdr:rowOff>35719</xdr:rowOff>
    </xdr:from>
    <xdr:to>
      <xdr:col>23</xdr:col>
      <xdr:colOff>396875</xdr:colOff>
      <xdr:row>41</xdr:row>
      <xdr:rowOff>178594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26194381-B951-668D-0E5F-4F794A147B25}"/>
            </a:ext>
          </a:extLst>
        </xdr:cNvPr>
        <xdr:cNvGrpSpPr/>
      </xdr:nvGrpSpPr>
      <xdr:grpSpPr>
        <a:xfrm>
          <a:off x="3198812" y="3988594"/>
          <a:ext cx="12739688" cy="4524375"/>
          <a:chOff x="3198812" y="3988594"/>
          <a:chExt cx="12914313" cy="4524375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F442EFCD-E515-692F-FD9F-6DFE6BBD8931}"/>
              </a:ext>
            </a:extLst>
          </xdr:cNvPr>
          <xdr:cNvGrpSpPr/>
        </xdr:nvGrpSpPr>
        <xdr:grpSpPr>
          <a:xfrm>
            <a:off x="3198812" y="4262438"/>
            <a:ext cx="12890500" cy="4250531"/>
            <a:chOff x="2595562" y="3476623"/>
            <a:chExt cx="5917406" cy="3214687"/>
          </a:xfrm>
        </xdr:grpSpPr>
        <xdr:sp macro="" textlink="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38348089-95DB-FCFE-3348-1B4438018214}"/>
                </a:ext>
              </a:extLst>
            </xdr:cNvPr>
            <xdr:cNvSpPr/>
          </xdr:nvSpPr>
          <xdr:spPr>
            <a:xfrm>
              <a:off x="2595562" y="3476623"/>
              <a:ext cx="5917406" cy="3214687"/>
            </a:xfrm>
            <a:prstGeom prst="roundRect">
              <a:avLst>
                <a:gd name="adj" fmla="val 814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EF5FCF9F-DF86-4C2F-85DC-ED89F1FC5AEC}"/>
                </a:ext>
              </a:extLst>
            </xdr:cNvPr>
            <xdr:cNvGraphicFramePr>
              <a:graphicFrameLocks/>
            </xdr:cNvGraphicFramePr>
          </xdr:nvGraphicFramePr>
          <xdr:xfrm>
            <a:off x="3083718" y="3690936"/>
            <a:ext cx="4978244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9EBFBE8D-0B09-4F17-AF85-0AD4B1B4EF15}"/>
              </a:ext>
            </a:extLst>
          </xdr:cNvPr>
          <xdr:cNvSpPr/>
        </xdr:nvSpPr>
        <xdr:spPr>
          <a:xfrm>
            <a:off x="3210718" y="3988594"/>
            <a:ext cx="12902407" cy="61912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SUBSCRITIONS</a:t>
            </a:r>
            <a:r>
              <a:rPr lang="pt-BR" sz="18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802823</xdr:colOff>
      <xdr:row>0</xdr:row>
      <xdr:rowOff>163286</xdr:rowOff>
    </xdr:from>
    <xdr:to>
      <xdr:col>0</xdr:col>
      <xdr:colOff>1741715</xdr:colOff>
      <xdr:row>2</xdr:row>
      <xdr:rowOff>394608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ABB2D4A9-9A35-4067-90AA-75D538CCEA03}"/>
            </a:ext>
          </a:extLst>
        </xdr:cNvPr>
        <xdr:cNvSpPr/>
      </xdr:nvSpPr>
      <xdr:spPr>
        <a:xfrm>
          <a:off x="802823" y="163286"/>
          <a:ext cx="938892" cy="913947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489857</xdr:colOff>
      <xdr:row>3</xdr:row>
      <xdr:rowOff>68036</xdr:rowOff>
    </xdr:from>
    <xdr:to>
      <xdr:col>0</xdr:col>
      <xdr:colOff>2231571</xdr:colOff>
      <xdr:row>7</xdr:row>
      <xdr:rowOff>40822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AAA96610-29F3-63BF-524B-9933FE57CDEB}"/>
            </a:ext>
          </a:extLst>
        </xdr:cNvPr>
        <xdr:cNvSpPr/>
      </xdr:nvSpPr>
      <xdr:spPr>
        <a:xfrm>
          <a:off x="489857" y="1242786"/>
          <a:ext cx="1741714" cy="4331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Bem</a:t>
          </a:r>
          <a:r>
            <a:rPr lang="pt-BR" sz="1100" baseline="0"/>
            <a:t> vinda </a:t>
          </a:r>
          <a:r>
            <a:rPr lang="pt-BR" sz="1200" b="1" baseline="0">
              <a:latin typeface="Segoe UI" panose="020B0502040204020203" pitchFamily="34" charset="0"/>
              <a:cs typeface="Segoe UI" panose="020B0502040204020203" pitchFamily="34" charset="0"/>
            </a:rPr>
            <a:t>DIORANNA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15875</xdr:colOff>
      <xdr:row>2</xdr:row>
      <xdr:rowOff>63500</xdr:rowOff>
    </xdr:from>
    <xdr:to>
      <xdr:col>12</xdr:col>
      <xdr:colOff>31750</xdr:colOff>
      <xdr:row>2</xdr:row>
      <xdr:rowOff>301625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59556013-9654-DC2A-9742-AF3473A9C1F9}"/>
            </a:ext>
          </a:extLst>
        </xdr:cNvPr>
        <xdr:cNvSpPr/>
      </xdr:nvSpPr>
      <xdr:spPr>
        <a:xfrm>
          <a:off x="3651250" y="746125"/>
          <a:ext cx="5286375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>
              <a:solidFill>
                <a:schemeClr val="bg1">
                  <a:lumMod val="65000"/>
                </a:schemeClr>
              </a:solidFill>
            </a:rPr>
            <a:t>periodo</a:t>
          </a:r>
          <a:r>
            <a:rPr lang="pt-BR" sz="1200" baseline="0">
              <a:solidFill>
                <a:schemeClr val="bg1">
                  <a:lumMod val="65000"/>
                </a:schemeClr>
              </a:solidFill>
            </a:rPr>
            <a:t> de apuração 01/2024 - 12/2024 | Update date: 17/10/2026 00:12</a:t>
          </a:r>
          <a:endParaRPr lang="pt-BR" sz="12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ébora Souza Santos" refreshedDate="46311.588810532405" createdVersion="8" refreshedVersion="8" minRefreshableVersion="3" recordCount="295" xr:uid="{104BB7FB-A979-4293-9B47-A8414AAAADF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220622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x v="0"/>
    <n v="20"/>
    <n v="5"/>
    <n v="60"/>
  </r>
  <r>
    <n v="3232"/>
    <x v="1"/>
    <x v="1"/>
    <d v="2024-01-15T00:00:00"/>
    <x v="1"/>
    <n v="5"/>
    <x v="1"/>
    <x v="1"/>
    <x v="1"/>
    <x v="1"/>
    <n v="0"/>
    <n v="0"/>
    <n v="5"/>
  </r>
  <r>
    <n v="3233"/>
    <x v="2"/>
    <x v="2"/>
    <d v="2024-02-10T00:00:00"/>
    <x v="0"/>
    <n v="10"/>
    <x v="2"/>
    <x v="1"/>
    <x v="1"/>
    <x v="0"/>
    <n v="20"/>
    <n v="10"/>
    <n v="20"/>
  </r>
  <r>
    <n v="3234"/>
    <x v="3"/>
    <x v="0"/>
    <d v="2024-02-20T00:00:00"/>
    <x v="1"/>
    <n v="15"/>
    <x v="0"/>
    <x v="0"/>
    <x v="0"/>
    <x v="0"/>
    <n v="20"/>
    <n v="3"/>
    <n v="62"/>
  </r>
  <r>
    <n v="3235"/>
    <x v="4"/>
    <x v="1"/>
    <d v="2024-03-05T00:00:00"/>
    <x v="0"/>
    <n v="5"/>
    <x v="0"/>
    <x v="1"/>
    <x v="1"/>
    <x v="1"/>
    <n v="0"/>
    <n v="1"/>
    <n v="4"/>
  </r>
  <r>
    <n v="3236"/>
    <x v="5"/>
    <x v="2"/>
    <d v="2024-03-02T00:00:00"/>
    <x v="1"/>
    <n v="10"/>
    <x v="0"/>
    <x v="1"/>
    <x v="1"/>
    <x v="0"/>
    <n v="20"/>
    <n v="2"/>
    <n v="28"/>
  </r>
  <r>
    <n v="3237"/>
    <x v="6"/>
    <x v="0"/>
    <d v="2024-03-03T00:00:00"/>
    <x v="0"/>
    <n v="15"/>
    <x v="2"/>
    <x v="0"/>
    <x v="0"/>
    <x v="0"/>
    <n v="20"/>
    <n v="10"/>
    <n v="55"/>
  </r>
  <r>
    <n v="3238"/>
    <x v="7"/>
    <x v="1"/>
    <d v="2024-03-04T00:00:00"/>
    <x v="0"/>
    <n v="5"/>
    <x v="1"/>
    <x v="1"/>
    <x v="1"/>
    <x v="1"/>
    <n v="0"/>
    <n v="0"/>
    <n v="5"/>
  </r>
  <r>
    <n v="3239"/>
    <x v="8"/>
    <x v="0"/>
    <d v="2024-03-05T00:00:00"/>
    <x v="1"/>
    <n v="15"/>
    <x v="0"/>
    <x v="0"/>
    <x v="0"/>
    <x v="0"/>
    <n v="20"/>
    <n v="5"/>
    <n v="60"/>
  </r>
  <r>
    <n v="3240"/>
    <x v="9"/>
    <x v="2"/>
    <d v="2024-03-06T00:00:00"/>
    <x v="0"/>
    <n v="10"/>
    <x v="2"/>
    <x v="1"/>
    <x v="1"/>
    <x v="0"/>
    <n v="20"/>
    <n v="15"/>
    <n v="15"/>
  </r>
  <r>
    <n v="3241"/>
    <x v="10"/>
    <x v="1"/>
    <d v="2024-03-07T00:00:00"/>
    <x v="1"/>
    <n v="5"/>
    <x v="0"/>
    <x v="1"/>
    <x v="1"/>
    <x v="1"/>
    <n v="0"/>
    <n v="1"/>
    <n v="4"/>
  </r>
  <r>
    <n v="3242"/>
    <x v="11"/>
    <x v="0"/>
    <d v="2024-03-08T00:00:00"/>
    <x v="0"/>
    <n v="15"/>
    <x v="1"/>
    <x v="0"/>
    <x v="0"/>
    <x v="0"/>
    <n v="20"/>
    <n v="20"/>
    <n v="45"/>
  </r>
  <r>
    <n v="3243"/>
    <x v="12"/>
    <x v="2"/>
    <d v="2024-03-09T00:00:00"/>
    <x v="1"/>
    <n v="10"/>
    <x v="0"/>
    <x v="1"/>
    <x v="1"/>
    <x v="0"/>
    <n v="20"/>
    <n v="10"/>
    <n v="20"/>
  </r>
  <r>
    <n v="3244"/>
    <x v="13"/>
    <x v="1"/>
    <d v="2024-03-10T00:00:00"/>
    <x v="0"/>
    <n v="5"/>
    <x v="2"/>
    <x v="1"/>
    <x v="1"/>
    <x v="1"/>
    <n v="0"/>
    <n v="0"/>
    <n v="5"/>
  </r>
  <r>
    <n v="3245"/>
    <x v="14"/>
    <x v="0"/>
    <d v="2024-03-11T00:00:00"/>
    <x v="1"/>
    <n v="15"/>
    <x v="0"/>
    <x v="0"/>
    <x v="0"/>
    <x v="0"/>
    <n v="20"/>
    <n v="8"/>
    <n v="57"/>
  </r>
  <r>
    <n v="3246"/>
    <x v="15"/>
    <x v="2"/>
    <d v="2024-03-12T00:00:00"/>
    <x v="0"/>
    <n v="10"/>
    <x v="1"/>
    <x v="1"/>
    <x v="1"/>
    <x v="0"/>
    <n v="20"/>
    <n v="12"/>
    <n v="18"/>
  </r>
  <r>
    <n v="3247"/>
    <x v="16"/>
    <x v="1"/>
    <d v="2024-03-13T00:00:00"/>
    <x v="1"/>
    <n v="5"/>
    <x v="0"/>
    <x v="1"/>
    <x v="1"/>
    <x v="1"/>
    <n v="0"/>
    <n v="2"/>
    <n v="3"/>
  </r>
  <r>
    <n v="3248"/>
    <x v="17"/>
    <x v="0"/>
    <d v="2024-03-14T00:00:00"/>
    <x v="0"/>
    <n v="15"/>
    <x v="2"/>
    <x v="0"/>
    <x v="0"/>
    <x v="0"/>
    <n v="20"/>
    <n v="7"/>
    <n v="58"/>
  </r>
  <r>
    <n v="3249"/>
    <x v="18"/>
    <x v="2"/>
    <d v="2024-03-15T00:00:00"/>
    <x v="1"/>
    <n v="10"/>
    <x v="0"/>
    <x v="1"/>
    <x v="1"/>
    <x v="0"/>
    <n v="20"/>
    <n v="5"/>
    <n v="25"/>
  </r>
  <r>
    <n v="3250"/>
    <x v="19"/>
    <x v="1"/>
    <d v="2024-03-16T00:00:00"/>
    <x v="0"/>
    <n v="5"/>
    <x v="1"/>
    <x v="1"/>
    <x v="1"/>
    <x v="1"/>
    <n v="0"/>
    <n v="0"/>
    <n v="5"/>
  </r>
  <r>
    <n v="3251"/>
    <x v="20"/>
    <x v="0"/>
    <d v="2024-03-17T00:00:00"/>
    <x v="1"/>
    <n v="15"/>
    <x v="0"/>
    <x v="0"/>
    <x v="0"/>
    <x v="0"/>
    <n v="20"/>
    <n v="3"/>
    <n v="62"/>
  </r>
  <r>
    <n v="3252"/>
    <x v="21"/>
    <x v="2"/>
    <d v="2024-03-18T00:00:00"/>
    <x v="0"/>
    <n v="10"/>
    <x v="2"/>
    <x v="1"/>
    <x v="1"/>
    <x v="0"/>
    <n v="20"/>
    <n v="15"/>
    <n v="15"/>
  </r>
  <r>
    <n v="3253"/>
    <x v="22"/>
    <x v="1"/>
    <d v="2024-03-19T00:00:00"/>
    <x v="1"/>
    <n v="5"/>
    <x v="0"/>
    <x v="1"/>
    <x v="1"/>
    <x v="1"/>
    <n v="0"/>
    <n v="1"/>
    <n v="4"/>
  </r>
  <r>
    <n v="3254"/>
    <x v="23"/>
    <x v="0"/>
    <d v="2024-03-20T00:00:00"/>
    <x v="0"/>
    <n v="15"/>
    <x v="1"/>
    <x v="0"/>
    <x v="0"/>
    <x v="0"/>
    <n v="20"/>
    <n v="20"/>
    <n v="45"/>
  </r>
  <r>
    <n v="3255"/>
    <x v="24"/>
    <x v="2"/>
    <d v="2024-03-21T00:00:00"/>
    <x v="1"/>
    <n v="10"/>
    <x v="0"/>
    <x v="1"/>
    <x v="1"/>
    <x v="0"/>
    <n v="20"/>
    <n v="10"/>
    <n v="20"/>
  </r>
  <r>
    <n v="3256"/>
    <x v="25"/>
    <x v="1"/>
    <d v="2024-03-22T00:00:00"/>
    <x v="0"/>
    <n v="5"/>
    <x v="2"/>
    <x v="1"/>
    <x v="1"/>
    <x v="1"/>
    <n v="0"/>
    <n v="0"/>
    <n v="5"/>
  </r>
  <r>
    <n v="3257"/>
    <x v="26"/>
    <x v="0"/>
    <d v="2024-03-23T00:00:00"/>
    <x v="1"/>
    <n v="15"/>
    <x v="0"/>
    <x v="0"/>
    <x v="0"/>
    <x v="0"/>
    <n v="20"/>
    <n v="5"/>
    <n v="60"/>
  </r>
  <r>
    <n v="3258"/>
    <x v="27"/>
    <x v="2"/>
    <d v="2024-03-24T00:00:00"/>
    <x v="0"/>
    <n v="10"/>
    <x v="1"/>
    <x v="1"/>
    <x v="1"/>
    <x v="0"/>
    <n v="20"/>
    <n v="15"/>
    <n v="15"/>
  </r>
  <r>
    <n v="3259"/>
    <x v="28"/>
    <x v="1"/>
    <d v="2024-03-25T00:00:00"/>
    <x v="1"/>
    <n v="5"/>
    <x v="0"/>
    <x v="1"/>
    <x v="1"/>
    <x v="1"/>
    <n v="0"/>
    <n v="1"/>
    <n v="4"/>
  </r>
  <r>
    <n v="3260"/>
    <x v="29"/>
    <x v="0"/>
    <d v="2024-03-26T00:00:00"/>
    <x v="0"/>
    <n v="15"/>
    <x v="2"/>
    <x v="0"/>
    <x v="0"/>
    <x v="0"/>
    <n v="20"/>
    <n v="7"/>
    <n v="58"/>
  </r>
  <r>
    <n v="3261"/>
    <x v="30"/>
    <x v="2"/>
    <d v="2024-03-27T00:00:00"/>
    <x v="1"/>
    <n v="10"/>
    <x v="0"/>
    <x v="1"/>
    <x v="1"/>
    <x v="0"/>
    <n v="20"/>
    <n v="10"/>
    <n v="20"/>
  </r>
  <r>
    <n v="3262"/>
    <x v="31"/>
    <x v="1"/>
    <d v="2024-03-28T00:00:00"/>
    <x v="0"/>
    <n v="5"/>
    <x v="1"/>
    <x v="1"/>
    <x v="1"/>
    <x v="1"/>
    <n v="0"/>
    <n v="0"/>
    <n v="5"/>
  </r>
  <r>
    <n v="3263"/>
    <x v="32"/>
    <x v="0"/>
    <d v="2024-03-29T00:00:00"/>
    <x v="1"/>
    <n v="15"/>
    <x v="0"/>
    <x v="0"/>
    <x v="0"/>
    <x v="0"/>
    <n v="20"/>
    <n v="3"/>
    <n v="62"/>
  </r>
  <r>
    <n v="3264"/>
    <x v="33"/>
    <x v="2"/>
    <d v="2024-03-30T00:00:00"/>
    <x v="0"/>
    <n v="10"/>
    <x v="2"/>
    <x v="1"/>
    <x v="1"/>
    <x v="0"/>
    <n v="20"/>
    <n v="15"/>
    <n v="15"/>
  </r>
  <r>
    <n v="3265"/>
    <x v="34"/>
    <x v="1"/>
    <d v="2024-03-31T00:00:00"/>
    <x v="1"/>
    <n v="5"/>
    <x v="0"/>
    <x v="1"/>
    <x v="1"/>
    <x v="1"/>
    <n v="0"/>
    <n v="1"/>
    <n v="4"/>
  </r>
  <r>
    <n v="3266"/>
    <x v="35"/>
    <x v="1"/>
    <d v="2024-04-01T00:00:00"/>
    <x v="0"/>
    <n v="5"/>
    <x v="0"/>
    <x v="1"/>
    <x v="1"/>
    <x v="1"/>
    <n v="0"/>
    <n v="0"/>
    <n v="5"/>
  </r>
  <r>
    <n v="3267"/>
    <x v="36"/>
    <x v="0"/>
    <d v="2024-04-02T00:00:00"/>
    <x v="1"/>
    <n v="15"/>
    <x v="2"/>
    <x v="0"/>
    <x v="0"/>
    <x v="0"/>
    <n v="20"/>
    <n v="7"/>
    <n v="58"/>
  </r>
  <r>
    <n v="3268"/>
    <x v="37"/>
    <x v="2"/>
    <d v="2024-04-03T00:00:00"/>
    <x v="0"/>
    <n v="10"/>
    <x v="1"/>
    <x v="1"/>
    <x v="1"/>
    <x v="0"/>
    <n v="20"/>
    <n v="10"/>
    <n v="20"/>
  </r>
  <r>
    <n v="3269"/>
    <x v="38"/>
    <x v="1"/>
    <d v="2024-04-04T00:00:00"/>
    <x v="1"/>
    <n v="5"/>
    <x v="2"/>
    <x v="1"/>
    <x v="1"/>
    <x v="1"/>
    <n v="0"/>
    <n v="1"/>
    <n v="4"/>
  </r>
  <r>
    <n v="3270"/>
    <x v="39"/>
    <x v="0"/>
    <d v="2024-04-05T00:00:00"/>
    <x v="0"/>
    <n v="15"/>
    <x v="0"/>
    <x v="0"/>
    <x v="0"/>
    <x v="0"/>
    <n v="20"/>
    <n v="15"/>
    <n v="50"/>
  </r>
  <r>
    <n v="3271"/>
    <x v="40"/>
    <x v="2"/>
    <d v="2024-04-06T00:00:00"/>
    <x v="1"/>
    <n v="10"/>
    <x v="0"/>
    <x v="1"/>
    <x v="1"/>
    <x v="0"/>
    <n v="20"/>
    <n v="5"/>
    <n v="25"/>
  </r>
  <r>
    <n v="3272"/>
    <x v="41"/>
    <x v="1"/>
    <d v="2024-04-07T00:00:00"/>
    <x v="0"/>
    <n v="5"/>
    <x v="1"/>
    <x v="1"/>
    <x v="1"/>
    <x v="1"/>
    <n v="0"/>
    <n v="0"/>
    <n v="5"/>
  </r>
  <r>
    <n v="3273"/>
    <x v="42"/>
    <x v="0"/>
    <d v="2024-04-08T00:00:00"/>
    <x v="1"/>
    <n v="15"/>
    <x v="2"/>
    <x v="0"/>
    <x v="0"/>
    <x v="0"/>
    <n v="20"/>
    <n v="20"/>
    <n v="45"/>
  </r>
  <r>
    <n v="3274"/>
    <x v="43"/>
    <x v="2"/>
    <d v="2024-04-09T00:00:00"/>
    <x v="0"/>
    <n v="10"/>
    <x v="2"/>
    <x v="1"/>
    <x v="1"/>
    <x v="0"/>
    <n v="20"/>
    <n v="12"/>
    <n v="18"/>
  </r>
  <r>
    <n v="3275"/>
    <x v="44"/>
    <x v="1"/>
    <d v="2024-04-10T00:00:00"/>
    <x v="1"/>
    <n v="5"/>
    <x v="0"/>
    <x v="1"/>
    <x v="1"/>
    <x v="1"/>
    <n v="0"/>
    <n v="2"/>
    <n v="3"/>
  </r>
  <r>
    <n v="3276"/>
    <x v="45"/>
    <x v="0"/>
    <d v="2024-04-11T00:00:00"/>
    <x v="0"/>
    <n v="15"/>
    <x v="1"/>
    <x v="0"/>
    <x v="0"/>
    <x v="0"/>
    <n v="20"/>
    <n v="5"/>
    <n v="60"/>
  </r>
  <r>
    <n v="3277"/>
    <x v="46"/>
    <x v="2"/>
    <d v="2024-04-12T00:00:00"/>
    <x v="1"/>
    <n v="10"/>
    <x v="0"/>
    <x v="1"/>
    <x v="1"/>
    <x v="0"/>
    <n v="20"/>
    <n v="10"/>
    <n v="20"/>
  </r>
  <r>
    <n v="3278"/>
    <x v="47"/>
    <x v="1"/>
    <d v="2024-04-13T00:00:00"/>
    <x v="0"/>
    <n v="5"/>
    <x v="2"/>
    <x v="1"/>
    <x v="1"/>
    <x v="1"/>
    <n v="0"/>
    <n v="0"/>
    <n v="5"/>
  </r>
  <r>
    <n v="3279"/>
    <x v="48"/>
    <x v="0"/>
    <d v="2024-04-14T00:00:00"/>
    <x v="1"/>
    <n v="15"/>
    <x v="0"/>
    <x v="0"/>
    <x v="0"/>
    <x v="0"/>
    <n v="20"/>
    <n v="3"/>
    <n v="62"/>
  </r>
  <r>
    <n v="3280"/>
    <x v="49"/>
    <x v="2"/>
    <d v="2024-04-15T00:00:00"/>
    <x v="0"/>
    <n v="10"/>
    <x v="1"/>
    <x v="1"/>
    <x v="1"/>
    <x v="0"/>
    <n v="20"/>
    <n v="15"/>
    <n v="15"/>
  </r>
  <r>
    <n v="3281"/>
    <x v="50"/>
    <x v="1"/>
    <d v="2024-04-16T00:00:00"/>
    <x v="1"/>
    <n v="5"/>
    <x v="0"/>
    <x v="1"/>
    <x v="1"/>
    <x v="1"/>
    <n v="0"/>
    <n v="1"/>
    <n v="4"/>
  </r>
  <r>
    <n v="3282"/>
    <x v="51"/>
    <x v="0"/>
    <d v="2024-04-17T00:00:00"/>
    <x v="0"/>
    <n v="15"/>
    <x v="2"/>
    <x v="0"/>
    <x v="0"/>
    <x v="0"/>
    <n v="20"/>
    <n v="7"/>
    <n v="58"/>
  </r>
  <r>
    <n v="3283"/>
    <x v="52"/>
    <x v="2"/>
    <d v="2024-04-18T00:00:00"/>
    <x v="1"/>
    <n v="10"/>
    <x v="0"/>
    <x v="1"/>
    <x v="1"/>
    <x v="0"/>
    <n v="20"/>
    <n v="10"/>
    <n v="20"/>
  </r>
  <r>
    <n v="3284"/>
    <x v="53"/>
    <x v="1"/>
    <d v="2024-04-19T00:00:00"/>
    <x v="0"/>
    <n v="5"/>
    <x v="1"/>
    <x v="1"/>
    <x v="1"/>
    <x v="1"/>
    <n v="0"/>
    <n v="0"/>
    <n v="5"/>
  </r>
  <r>
    <n v="3285"/>
    <x v="54"/>
    <x v="0"/>
    <d v="2024-04-20T00:00:00"/>
    <x v="1"/>
    <n v="15"/>
    <x v="0"/>
    <x v="0"/>
    <x v="0"/>
    <x v="0"/>
    <n v="20"/>
    <n v="20"/>
    <n v="45"/>
  </r>
  <r>
    <n v="3286"/>
    <x v="55"/>
    <x v="2"/>
    <d v="2024-04-21T00:00:00"/>
    <x v="0"/>
    <n v="10"/>
    <x v="2"/>
    <x v="1"/>
    <x v="1"/>
    <x v="0"/>
    <n v="20"/>
    <n v="15"/>
    <n v="15"/>
  </r>
  <r>
    <n v="3287"/>
    <x v="56"/>
    <x v="1"/>
    <d v="2024-04-22T00:00:00"/>
    <x v="1"/>
    <n v="5"/>
    <x v="0"/>
    <x v="1"/>
    <x v="1"/>
    <x v="1"/>
    <n v="0"/>
    <n v="1"/>
    <n v="4"/>
  </r>
  <r>
    <n v="3288"/>
    <x v="57"/>
    <x v="0"/>
    <d v="2024-04-23T00:00:00"/>
    <x v="0"/>
    <n v="15"/>
    <x v="1"/>
    <x v="0"/>
    <x v="0"/>
    <x v="0"/>
    <n v="20"/>
    <n v="3"/>
    <n v="62"/>
  </r>
  <r>
    <n v="3289"/>
    <x v="58"/>
    <x v="2"/>
    <d v="2024-04-24T00:00:00"/>
    <x v="1"/>
    <n v="10"/>
    <x v="0"/>
    <x v="1"/>
    <x v="1"/>
    <x v="0"/>
    <n v="20"/>
    <n v="10"/>
    <n v="20"/>
  </r>
  <r>
    <n v="3290"/>
    <x v="59"/>
    <x v="1"/>
    <d v="2024-04-25T00:00:00"/>
    <x v="0"/>
    <n v="5"/>
    <x v="2"/>
    <x v="1"/>
    <x v="1"/>
    <x v="1"/>
    <n v="0"/>
    <n v="0"/>
    <n v="5"/>
  </r>
  <r>
    <n v="3291"/>
    <x v="60"/>
    <x v="0"/>
    <d v="2024-04-26T00:00:00"/>
    <x v="1"/>
    <n v="15"/>
    <x v="0"/>
    <x v="0"/>
    <x v="0"/>
    <x v="0"/>
    <n v="20"/>
    <n v="5"/>
    <n v="60"/>
  </r>
  <r>
    <n v="3292"/>
    <x v="61"/>
    <x v="2"/>
    <d v="2024-04-27T00:00:00"/>
    <x v="0"/>
    <n v="10"/>
    <x v="1"/>
    <x v="1"/>
    <x v="1"/>
    <x v="0"/>
    <n v="20"/>
    <n v="15"/>
    <n v="15"/>
  </r>
  <r>
    <n v="3293"/>
    <x v="62"/>
    <x v="1"/>
    <d v="2024-04-28T00:00:00"/>
    <x v="1"/>
    <n v="5"/>
    <x v="0"/>
    <x v="1"/>
    <x v="1"/>
    <x v="1"/>
    <n v="0"/>
    <n v="1"/>
    <n v="4"/>
  </r>
  <r>
    <n v="3294"/>
    <x v="63"/>
    <x v="0"/>
    <d v="2024-04-29T00:00:00"/>
    <x v="0"/>
    <n v="15"/>
    <x v="2"/>
    <x v="0"/>
    <x v="0"/>
    <x v="0"/>
    <n v="20"/>
    <n v="20"/>
    <n v="45"/>
  </r>
  <r>
    <n v="3295"/>
    <x v="64"/>
    <x v="2"/>
    <d v="2024-04-30T00:00:00"/>
    <x v="1"/>
    <n v="10"/>
    <x v="0"/>
    <x v="1"/>
    <x v="1"/>
    <x v="0"/>
    <n v="20"/>
    <n v="5"/>
    <n v="25"/>
  </r>
  <r>
    <n v="3296"/>
    <x v="65"/>
    <x v="1"/>
    <d v="2024-05-01T00:00:00"/>
    <x v="1"/>
    <n v="5"/>
    <x v="0"/>
    <x v="1"/>
    <x v="1"/>
    <x v="1"/>
    <n v="0"/>
    <n v="0"/>
    <n v="5"/>
  </r>
  <r>
    <n v="3297"/>
    <x v="66"/>
    <x v="0"/>
    <d v="2024-05-02T00:00:00"/>
    <x v="0"/>
    <n v="15"/>
    <x v="2"/>
    <x v="0"/>
    <x v="0"/>
    <x v="0"/>
    <n v="20"/>
    <n v="7"/>
    <n v="58"/>
  </r>
  <r>
    <n v="3298"/>
    <x v="67"/>
    <x v="2"/>
    <d v="2024-05-03T00:00:00"/>
    <x v="1"/>
    <n v="10"/>
    <x v="1"/>
    <x v="1"/>
    <x v="1"/>
    <x v="0"/>
    <n v="20"/>
    <n v="10"/>
    <n v="20"/>
  </r>
  <r>
    <n v="3299"/>
    <x v="68"/>
    <x v="1"/>
    <d v="2024-05-04T00:00:00"/>
    <x v="0"/>
    <n v="5"/>
    <x v="2"/>
    <x v="1"/>
    <x v="1"/>
    <x v="1"/>
    <n v="0"/>
    <n v="1"/>
    <n v="4"/>
  </r>
  <r>
    <n v="3300"/>
    <x v="69"/>
    <x v="0"/>
    <d v="2024-05-05T00:00:00"/>
    <x v="1"/>
    <n v="15"/>
    <x v="0"/>
    <x v="0"/>
    <x v="0"/>
    <x v="0"/>
    <n v="20"/>
    <n v="15"/>
    <n v="50"/>
  </r>
  <r>
    <n v="3301"/>
    <x v="70"/>
    <x v="2"/>
    <d v="2024-05-06T00:00:00"/>
    <x v="0"/>
    <n v="10"/>
    <x v="0"/>
    <x v="1"/>
    <x v="1"/>
    <x v="0"/>
    <n v="20"/>
    <n v="5"/>
    <n v="25"/>
  </r>
  <r>
    <n v="3302"/>
    <x v="71"/>
    <x v="1"/>
    <d v="2024-05-07T00:00:00"/>
    <x v="1"/>
    <n v="5"/>
    <x v="1"/>
    <x v="1"/>
    <x v="1"/>
    <x v="1"/>
    <n v="0"/>
    <n v="0"/>
    <n v="5"/>
  </r>
  <r>
    <n v="3303"/>
    <x v="72"/>
    <x v="0"/>
    <d v="2024-05-08T00:00:00"/>
    <x v="0"/>
    <n v="15"/>
    <x v="2"/>
    <x v="0"/>
    <x v="0"/>
    <x v="0"/>
    <n v="20"/>
    <n v="20"/>
    <n v="45"/>
  </r>
  <r>
    <n v="3304"/>
    <x v="73"/>
    <x v="2"/>
    <d v="2024-05-09T00:00:00"/>
    <x v="1"/>
    <n v="10"/>
    <x v="2"/>
    <x v="1"/>
    <x v="1"/>
    <x v="0"/>
    <n v="20"/>
    <n v="12"/>
    <n v="18"/>
  </r>
  <r>
    <n v="3305"/>
    <x v="74"/>
    <x v="1"/>
    <d v="2024-05-10T00:00:00"/>
    <x v="0"/>
    <n v="5"/>
    <x v="0"/>
    <x v="1"/>
    <x v="1"/>
    <x v="1"/>
    <n v="0"/>
    <n v="2"/>
    <n v="3"/>
  </r>
  <r>
    <n v="3306"/>
    <x v="75"/>
    <x v="0"/>
    <d v="2024-05-11T00:00:00"/>
    <x v="1"/>
    <n v="15"/>
    <x v="1"/>
    <x v="0"/>
    <x v="0"/>
    <x v="0"/>
    <n v="20"/>
    <n v="5"/>
    <n v="60"/>
  </r>
  <r>
    <n v="3307"/>
    <x v="76"/>
    <x v="2"/>
    <d v="2024-05-12T00:00:00"/>
    <x v="0"/>
    <n v="10"/>
    <x v="0"/>
    <x v="1"/>
    <x v="1"/>
    <x v="0"/>
    <n v="20"/>
    <n v="10"/>
    <n v="20"/>
  </r>
  <r>
    <n v="3308"/>
    <x v="77"/>
    <x v="1"/>
    <d v="2024-05-13T00:00:00"/>
    <x v="1"/>
    <n v="5"/>
    <x v="2"/>
    <x v="1"/>
    <x v="1"/>
    <x v="1"/>
    <n v="0"/>
    <n v="0"/>
    <n v="5"/>
  </r>
  <r>
    <n v="3309"/>
    <x v="78"/>
    <x v="0"/>
    <d v="2024-05-14T00:00:00"/>
    <x v="0"/>
    <n v="15"/>
    <x v="0"/>
    <x v="0"/>
    <x v="0"/>
    <x v="0"/>
    <n v="20"/>
    <n v="3"/>
    <n v="62"/>
  </r>
  <r>
    <n v="3310"/>
    <x v="79"/>
    <x v="2"/>
    <d v="2024-05-15T00:00:00"/>
    <x v="1"/>
    <n v="10"/>
    <x v="1"/>
    <x v="1"/>
    <x v="1"/>
    <x v="0"/>
    <n v="20"/>
    <n v="15"/>
    <n v="15"/>
  </r>
  <r>
    <n v="3311"/>
    <x v="80"/>
    <x v="1"/>
    <d v="2024-05-16T00:00:00"/>
    <x v="0"/>
    <n v="5"/>
    <x v="0"/>
    <x v="1"/>
    <x v="1"/>
    <x v="1"/>
    <n v="0"/>
    <n v="1"/>
    <n v="4"/>
  </r>
  <r>
    <n v="3312"/>
    <x v="81"/>
    <x v="0"/>
    <d v="2024-05-17T00:00:00"/>
    <x v="1"/>
    <n v="15"/>
    <x v="2"/>
    <x v="0"/>
    <x v="0"/>
    <x v="0"/>
    <n v="20"/>
    <n v="7"/>
    <n v="58"/>
  </r>
  <r>
    <n v="3313"/>
    <x v="82"/>
    <x v="2"/>
    <d v="2024-05-18T00:00:00"/>
    <x v="0"/>
    <n v="10"/>
    <x v="0"/>
    <x v="1"/>
    <x v="1"/>
    <x v="0"/>
    <n v="20"/>
    <n v="10"/>
    <n v="20"/>
  </r>
  <r>
    <n v="3314"/>
    <x v="83"/>
    <x v="1"/>
    <d v="2024-05-19T00:00:00"/>
    <x v="1"/>
    <n v="5"/>
    <x v="1"/>
    <x v="1"/>
    <x v="1"/>
    <x v="1"/>
    <n v="0"/>
    <n v="0"/>
    <n v="5"/>
  </r>
  <r>
    <n v="3315"/>
    <x v="84"/>
    <x v="0"/>
    <d v="2024-05-20T00:00:00"/>
    <x v="0"/>
    <n v="15"/>
    <x v="0"/>
    <x v="0"/>
    <x v="0"/>
    <x v="0"/>
    <n v="20"/>
    <n v="20"/>
    <n v="45"/>
  </r>
  <r>
    <n v="3316"/>
    <x v="85"/>
    <x v="2"/>
    <d v="2024-05-21T00:00:00"/>
    <x v="1"/>
    <n v="10"/>
    <x v="2"/>
    <x v="1"/>
    <x v="1"/>
    <x v="0"/>
    <n v="20"/>
    <n v="15"/>
    <n v="15"/>
  </r>
  <r>
    <n v="3317"/>
    <x v="86"/>
    <x v="1"/>
    <d v="2024-05-22T00:00:00"/>
    <x v="0"/>
    <n v="5"/>
    <x v="0"/>
    <x v="1"/>
    <x v="1"/>
    <x v="1"/>
    <n v="0"/>
    <n v="1"/>
    <n v="4"/>
  </r>
  <r>
    <n v="3318"/>
    <x v="87"/>
    <x v="0"/>
    <d v="2024-05-23T00:00:00"/>
    <x v="1"/>
    <n v="15"/>
    <x v="1"/>
    <x v="0"/>
    <x v="0"/>
    <x v="0"/>
    <n v="20"/>
    <n v="3"/>
    <n v="62"/>
  </r>
  <r>
    <n v="3319"/>
    <x v="88"/>
    <x v="2"/>
    <d v="2024-05-24T00:00:00"/>
    <x v="0"/>
    <n v="10"/>
    <x v="0"/>
    <x v="1"/>
    <x v="1"/>
    <x v="0"/>
    <n v="20"/>
    <n v="10"/>
    <n v="20"/>
  </r>
  <r>
    <n v="3320"/>
    <x v="89"/>
    <x v="1"/>
    <d v="2024-05-25T00:00:00"/>
    <x v="1"/>
    <n v="5"/>
    <x v="2"/>
    <x v="1"/>
    <x v="1"/>
    <x v="1"/>
    <n v="0"/>
    <n v="0"/>
    <n v="5"/>
  </r>
  <r>
    <n v="3321"/>
    <x v="90"/>
    <x v="0"/>
    <d v="2024-05-26T00:00:00"/>
    <x v="0"/>
    <n v="15"/>
    <x v="0"/>
    <x v="0"/>
    <x v="0"/>
    <x v="0"/>
    <n v="20"/>
    <n v="5"/>
    <n v="60"/>
  </r>
  <r>
    <n v="3322"/>
    <x v="91"/>
    <x v="2"/>
    <d v="2024-05-27T00:00:00"/>
    <x v="1"/>
    <n v="10"/>
    <x v="1"/>
    <x v="1"/>
    <x v="1"/>
    <x v="0"/>
    <n v="20"/>
    <n v="15"/>
    <n v="15"/>
  </r>
  <r>
    <n v="3323"/>
    <x v="92"/>
    <x v="1"/>
    <d v="2024-05-28T00:00:00"/>
    <x v="0"/>
    <n v="5"/>
    <x v="0"/>
    <x v="1"/>
    <x v="1"/>
    <x v="1"/>
    <n v="0"/>
    <n v="1"/>
    <n v="4"/>
  </r>
  <r>
    <n v="3324"/>
    <x v="93"/>
    <x v="0"/>
    <d v="2024-05-29T00:00:00"/>
    <x v="1"/>
    <n v="15"/>
    <x v="2"/>
    <x v="0"/>
    <x v="0"/>
    <x v="0"/>
    <n v="20"/>
    <n v="20"/>
    <n v="45"/>
  </r>
  <r>
    <n v="3325"/>
    <x v="94"/>
    <x v="2"/>
    <d v="2024-05-30T00:00:00"/>
    <x v="0"/>
    <n v="10"/>
    <x v="2"/>
    <x v="1"/>
    <x v="1"/>
    <x v="0"/>
    <n v="20"/>
    <n v="15"/>
    <n v="15"/>
  </r>
  <r>
    <n v="3326"/>
    <x v="95"/>
    <x v="1"/>
    <d v="2024-05-31T00:00:00"/>
    <x v="1"/>
    <n v="5"/>
    <x v="1"/>
    <x v="1"/>
    <x v="1"/>
    <x v="1"/>
    <n v="0"/>
    <n v="0"/>
    <n v="5"/>
  </r>
  <r>
    <n v="3327"/>
    <x v="96"/>
    <x v="0"/>
    <d v="2024-06-01T00:00:00"/>
    <x v="0"/>
    <n v="15"/>
    <x v="0"/>
    <x v="0"/>
    <x v="0"/>
    <x v="0"/>
    <n v="20"/>
    <n v="7"/>
    <n v="58"/>
  </r>
  <r>
    <n v="3328"/>
    <x v="97"/>
    <x v="2"/>
    <d v="2024-06-02T00:00:00"/>
    <x v="1"/>
    <n v="10"/>
    <x v="1"/>
    <x v="1"/>
    <x v="1"/>
    <x v="0"/>
    <n v="20"/>
    <n v="10"/>
    <n v="20"/>
  </r>
  <r>
    <n v="3329"/>
    <x v="98"/>
    <x v="1"/>
    <d v="2024-06-03T00:00:00"/>
    <x v="0"/>
    <n v="5"/>
    <x v="2"/>
    <x v="1"/>
    <x v="1"/>
    <x v="1"/>
    <n v="0"/>
    <n v="1"/>
    <n v="4"/>
  </r>
  <r>
    <n v="3330"/>
    <x v="99"/>
    <x v="0"/>
    <d v="2024-06-04T00:00:00"/>
    <x v="1"/>
    <n v="15"/>
    <x v="0"/>
    <x v="0"/>
    <x v="0"/>
    <x v="0"/>
    <n v="20"/>
    <n v="15"/>
    <n v="50"/>
  </r>
  <r>
    <n v="3331"/>
    <x v="100"/>
    <x v="2"/>
    <d v="2024-06-05T00:00:00"/>
    <x v="0"/>
    <n v="10"/>
    <x v="0"/>
    <x v="1"/>
    <x v="1"/>
    <x v="0"/>
    <n v="20"/>
    <n v="5"/>
    <n v="25"/>
  </r>
  <r>
    <n v="3332"/>
    <x v="101"/>
    <x v="1"/>
    <d v="2024-06-06T00:00:00"/>
    <x v="1"/>
    <n v="5"/>
    <x v="1"/>
    <x v="1"/>
    <x v="1"/>
    <x v="1"/>
    <n v="0"/>
    <n v="0"/>
    <n v="5"/>
  </r>
  <r>
    <n v="3333"/>
    <x v="102"/>
    <x v="0"/>
    <d v="2024-06-07T00:00:00"/>
    <x v="0"/>
    <n v="15"/>
    <x v="2"/>
    <x v="0"/>
    <x v="0"/>
    <x v="0"/>
    <n v="20"/>
    <n v="20"/>
    <n v="45"/>
  </r>
  <r>
    <n v="3334"/>
    <x v="103"/>
    <x v="2"/>
    <d v="2024-06-08T00:00:00"/>
    <x v="1"/>
    <n v="10"/>
    <x v="2"/>
    <x v="1"/>
    <x v="1"/>
    <x v="0"/>
    <n v="20"/>
    <n v="12"/>
    <n v="18"/>
  </r>
  <r>
    <n v="3335"/>
    <x v="104"/>
    <x v="1"/>
    <d v="2024-06-09T00:00:00"/>
    <x v="0"/>
    <n v="5"/>
    <x v="0"/>
    <x v="1"/>
    <x v="1"/>
    <x v="1"/>
    <n v="0"/>
    <n v="2"/>
    <n v="3"/>
  </r>
  <r>
    <n v="3336"/>
    <x v="105"/>
    <x v="1"/>
    <d v="2024-06-10T00:00:00"/>
    <x v="0"/>
    <n v="5"/>
    <x v="0"/>
    <x v="1"/>
    <x v="1"/>
    <x v="1"/>
    <n v="0"/>
    <n v="0"/>
    <n v="5"/>
  </r>
  <r>
    <n v="3337"/>
    <x v="106"/>
    <x v="0"/>
    <d v="2024-06-11T00:00:00"/>
    <x v="1"/>
    <n v="15"/>
    <x v="2"/>
    <x v="0"/>
    <x v="0"/>
    <x v="0"/>
    <n v="20"/>
    <n v="7"/>
    <n v="58"/>
  </r>
  <r>
    <n v="3338"/>
    <x v="107"/>
    <x v="2"/>
    <d v="2024-06-12T00:00:00"/>
    <x v="0"/>
    <n v="10"/>
    <x v="1"/>
    <x v="1"/>
    <x v="1"/>
    <x v="0"/>
    <n v="20"/>
    <n v="10"/>
    <n v="20"/>
  </r>
  <r>
    <n v="3339"/>
    <x v="108"/>
    <x v="1"/>
    <d v="2024-06-13T00:00:00"/>
    <x v="1"/>
    <n v="5"/>
    <x v="2"/>
    <x v="1"/>
    <x v="1"/>
    <x v="1"/>
    <n v="0"/>
    <n v="1"/>
    <n v="4"/>
  </r>
  <r>
    <n v="3340"/>
    <x v="109"/>
    <x v="0"/>
    <d v="2024-06-14T00:00:00"/>
    <x v="0"/>
    <n v="15"/>
    <x v="0"/>
    <x v="0"/>
    <x v="0"/>
    <x v="0"/>
    <n v="20"/>
    <n v="15"/>
    <n v="50"/>
  </r>
  <r>
    <n v="3341"/>
    <x v="110"/>
    <x v="2"/>
    <d v="2024-06-15T00:00:00"/>
    <x v="1"/>
    <n v="10"/>
    <x v="0"/>
    <x v="1"/>
    <x v="1"/>
    <x v="0"/>
    <n v="20"/>
    <n v="5"/>
    <n v="25"/>
  </r>
  <r>
    <n v="3342"/>
    <x v="111"/>
    <x v="1"/>
    <d v="2024-06-16T00:00:00"/>
    <x v="0"/>
    <n v="5"/>
    <x v="1"/>
    <x v="1"/>
    <x v="1"/>
    <x v="1"/>
    <n v="0"/>
    <n v="0"/>
    <n v="5"/>
  </r>
  <r>
    <n v="3343"/>
    <x v="112"/>
    <x v="0"/>
    <d v="2024-06-17T00:00:00"/>
    <x v="1"/>
    <n v="15"/>
    <x v="2"/>
    <x v="0"/>
    <x v="0"/>
    <x v="0"/>
    <n v="20"/>
    <n v="20"/>
    <n v="45"/>
  </r>
  <r>
    <n v="3344"/>
    <x v="113"/>
    <x v="2"/>
    <d v="2024-06-18T00:00:00"/>
    <x v="0"/>
    <n v="10"/>
    <x v="2"/>
    <x v="1"/>
    <x v="1"/>
    <x v="0"/>
    <n v="20"/>
    <n v="12"/>
    <n v="18"/>
  </r>
  <r>
    <n v="3345"/>
    <x v="114"/>
    <x v="1"/>
    <d v="2024-06-19T00:00:00"/>
    <x v="1"/>
    <n v="5"/>
    <x v="0"/>
    <x v="1"/>
    <x v="1"/>
    <x v="1"/>
    <n v="0"/>
    <n v="2"/>
    <n v="3"/>
  </r>
  <r>
    <n v="3346"/>
    <x v="115"/>
    <x v="0"/>
    <d v="2024-06-20T00:00:00"/>
    <x v="0"/>
    <n v="15"/>
    <x v="1"/>
    <x v="0"/>
    <x v="0"/>
    <x v="0"/>
    <n v="20"/>
    <n v="5"/>
    <n v="60"/>
  </r>
  <r>
    <n v="3347"/>
    <x v="116"/>
    <x v="2"/>
    <d v="2024-06-21T00:00:00"/>
    <x v="1"/>
    <n v="10"/>
    <x v="0"/>
    <x v="1"/>
    <x v="1"/>
    <x v="0"/>
    <n v="20"/>
    <n v="10"/>
    <n v="20"/>
  </r>
  <r>
    <n v="3348"/>
    <x v="117"/>
    <x v="1"/>
    <d v="2024-06-22T00:00:00"/>
    <x v="0"/>
    <n v="5"/>
    <x v="2"/>
    <x v="1"/>
    <x v="1"/>
    <x v="1"/>
    <n v="0"/>
    <n v="0"/>
    <n v="5"/>
  </r>
  <r>
    <n v="3349"/>
    <x v="93"/>
    <x v="0"/>
    <d v="2024-06-23T00:00:00"/>
    <x v="1"/>
    <n v="15"/>
    <x v="0"/>
    <x v="0"/>
    <x v="0"/>
    <x v="0"/>
    <n v="20"/>
    <n v="3"/>
    <n v="62"/>
  </r>
  <r>
    <n v="3350"/>
    <x v="118"/>
    <x v="2"/>
    <d v="2024-06-24T00:00:00"/>
    <x v="0"/>
    <n v="10"/>
    <x v="1"/>
    <x v="1"/>
    <x v="1"/>
    <x v="0"/>
    <n v="20"/>
    <n v="15"/>
    <n v="15"/>
  </r>
  <r>
    <n v="3351"/>
    <x v="119"/>
    <x v="1"/>
    <d v="2024-06-25T00:00:00"/>
    <x v="1"/>
    <n v="5"/>
    <x v="0"/>
    <x v="1"/>
    <x v="1"/>
    <x v="1"/>
    <n v="0"/>
    <n v="1"/>
    <n v="4"/>
  </r>
  <r>
    <n v="3352"/>
    <x v="120"/>
    <x v="0"/>
    <d v="2024-06-26T00:00:00"/>
    <x v="0"/>
    <n v="15"/>
    <x v="2"/>
    <x v="0"/>
    <x v="0"/>
    <x v="0"/>
    <n v="20"/>
    <n v="7"/>
    <n v="58"/>
  </r>
  <r>
    <n v="3353"/>
    <x v="121"/>
    <x v="2"/>
    <d v="2024-06-27T00:00:00"/>
    <x v="1"/>
    <n v="10"/>
    <x v="0"/>
    <x v="1"/>
    <x v="1"/>
    <x v="0"/>
    <n v="20"/>
    <n v="10"/>
    <n v="20"/>
  </r>
  <r>
    <n v="3354"/>
    <x v="122"/>
    <x v="1"/>
    <d v="2024-06-28T00:00:00"/>
    <x v="0"/>
    <n v="5"/>
    <x v="1"/>
    <x v="1"/>
    <x v="1"/>
    <x v="1"/>
    <n v="0"/>
    <n v="0"/>
    <n v="5"/>
  </r>
  <r>
    <n v="3355"/>
    <x v="123"/>
    <x v="0"/>
    <d v="2024-06-29T00:00:00"/>
    <x v="1"/>
    <n v="15"/>
    <x v="0"/>
    <x v="0"/>
    <x v="0"/>
    <x v="0"/>
    <n v="20"/>
    <n v="20"/>
    <n v="45"/>
  </r>
  <r>
    <n v="3356"/>
    <x v="124"/>
    <x v="2"/>
    <d v="2024-06-30T00:00:00"/>
    <x v="0"/>
    <n v="10"/>
    <x v="2"/>
    <x v="1"/>
    <x v="1"/>
    <x v="0"/>
    <n v="20"/>
    <n v="15"/>
    <n v="15"/>
  </r>
  <r>
    <n v="3357"/>
    <x v="125"/>
    <x v="1"/>
    <d v="2024-07-01T00:00:00"/>
    <x v="1"/>
    <n v="5"/>
    <x v="0"/>
    <x v="1"/>
    <x v="1"/>
    <x v="1"/>
    <n v="0"/>
    <n v="1"/>
    <n v="4"/>
  </r>
  <r>
    <n v="3358"/>
    <x v="126"/>
    <x v="0"/>
    <d v="2024-07-02T00:00:00"/>
    <x v="0"/>
    <n v="15"/>
    <x v="1"/>
    <x v="0"/>
    <x v="0"/>
    <x v="0"/>
    <n v="20"/>
    <n v="3"/>
    <n v="62"/>
  </r>
  <r>
    <n v="3359"/>
    <x v="127"/>
    <x v="2"/>
    <d v="2024-07-03T00:00:00"/>
    <x v="1"/>
    <n v="10"/>
    <x v="0"/>
    <x v="1"/>
    <x v="1"/>
    <x v="0"/>
    <n v="20"/>
    <n v="10"/>
    <n v="20"/>
  </r>
  <r>
    <n v="3360"/>
    <x v="128"/>
    <x v="1"/>
    <d v="2024-07-04T00:00:00"/>
    <x v="0"/>
    <n v="5"/>
    <x v="2"/>
    <x v="1"/>
    <x v="1"/>
    <x v="1"/>
    <n v="0"/>
    <n v="0"/>
    <n v="5"/>
  </r>
  <r>
    <n v="3361"/>
    <x v="129"/>
    <x v="0"/>
    <d v="2024-07-05T00:00:00"/>
    <x v="1"/>
    <n v="15"/>
    <x v="0"/>
    <x v="0"/>
    <x v="0"/>
    <x v="0"/>
    <n v="20"/>
    <n v="15"/>
    <n v="50"/>
  </r>
  <r>
    <n v="3362"/>
    <x v="130"/>
    <x v="2"/>
    <d v="2024-07-06T00:00:00"/>
    <x v="0"/>
    <n v="10"/>
    <x v="1"/>
    <x v="1"/>
    <x v="1"/>
    <x v="0"/>
    <n v="20"/>
    <n v="15"/>
    <n v="15"/>
  </r>
  <r>
    <n v="3363"/>
    <x v="131"/>
    <x v="1"/>
    <d v="2024-07-07T00:00:00"/>
    <x v="1"/>
    <n v="5"/>
    <x v="0"/>
    <x v="1"/>
    <x v="1"/>
    <x v="1"/>
    <n v="0"/>
    <n v="1"/>
    <n v="4"/>
  </r>
  <r>
    <n v="3364"/>
    <x v="132"/>
    <x v="0"/>
    <d v="2024-07-08T00:00:00"/>
    <x v="0"/>
    <n v="15"/>
    <x v="2"/>
    <x v="0"/>
    <x v="0"/>
    <x v="0"/>
    <n v="20"/>
    <n v="7"/>
    <n v="58"/>
  </r>
  <r>
    <n v="3365"/>
    <x v="133"/>
    <x v="2"/>
    <d v="2024-07-09T00:00:00"/>
    <x v="1"/>
    <n v="10"/>
    <x v="0"/>
    <x v="1"/>
    <x v="1"/>
    <x v="0"/>
    <n v="20"/>
    <n v="10"/>
    <n v="20"/>
  </r>
  <r>
    <n v="3366"/>
    <x v="134"/>
    <x v="1"/>
    <d v="2024-07-10T00:00:00"/>
    <x v="0"/>
    <n v="5"/>
    <x v="0"/>
    <x v="1"/>
    <x v="1"/>
    <x v="1"/>
    <n v="0"/>
    <n v="0"/>
    <n v="5"/>
  </r>
  <r>
    <n v="3367"/>
    <x v="135"/>
    <x v="0"/>
    <d v="2024-07-11T00:00:00"/>
    <x v="1"/>
    <n v="15"/>
    <x v="2"/>
    <x v="0"/>
    <x v="0"/>
    <x v="0"/>
    <n v="20"/>
    <n v="7"/>
    <n v="58"/>
  </r>
  <r>
    <n v="3368"/>
    <x v="136"/>
    <x v="2"/>
    <d v="2024-07-12T00:00:00"/>
    <x v="0"/>
    <n v="10"/>
    <x v="1"/>
    <x v="1"/>
    <x v="1"/>
    <x v="0"/>
    <n v="20"/>
    <n v="10"/>
    <n v="20"/>
  </r>
  <r>
    <n v="3369"/>
    <x v="137"/>
    <x v="1"/>
    <d v="2024-07-13T00:00:00"/>
    <x v="1"/>
    <n v="5"/>
    <x v="2"/>
    <x v="1"/>
    <x v="1"/>
    <x v="1"/>
    <n v="0"/>
    <n v="1"/>
    <n v="4"/>
  </r>
  <r>
    <n v="3370"/>
    <x v="138"/>
    <x v="0"/>
    <d v="2024-07-14T00:00:00"/>
    <x v="0"/>
    <n v="15"/>
    <x v="0"/>
    <x v="0"/>
    <x v="0"/>
    <x v="0"/>
    <n v="20"/>
    <n v="15"/>
    <n v="50"/>
  </r>
  <r>
    <n v="3371"/>
    <x v="139"/>
    <x v="2"/>
    <d v="2024-07-15T00:00:00"/>
    <x v="1"/>
    <n v="10"/>
    <x v="0"/>
    <x v="1"/>
    <x v="1"/>
    <x v="0"/>
    <n v="20"/>
    <n v="5"/>
    <n v="25"/>
  </r>
  <r>
    <n v="3372"/>
    <x v="140"/>
    <x v="1"/>
    <d v="2024-07-16T00:00:00"/>
    <x v="0"/>
    <n v="5"/>
    <x v="1"/>
    <x v="1"/>
    <x v="1"/>
    <x v="1"/>
    <n v="0"/>
    <n v="0"/>
    <n v="5"/>
  </r>
  <r>
    <n v="3373"/>
    <x v="141"/>
    <x v="0"/>
    <d v="2024-07-17T00:00:00"/>
    <x v="1"/>
    <n v="15"/>
    <x v="2"/>
    <x v="0"/>
    <x v="0"/>
    <x v="0"/>
    <n v="20"/>
    <n v="20"/>
    <n v="45"/>
  </r>
  <r>
    <n v="3374"/>
    <x v="142"/>
    <x v="2"/>
    <d v="2024-07-18T00:00:00"/>
    <x v="0"/>
    <n v="10"/>
    <x v="2"/>
    <x v="1"/>
    <x v="1"/>
    <x v="0"/>
    <n v="20"/>
    <n v="12"/>
    <n v="18"/>
  </r>
  <r>
    <n v="3375"/>
    <x v="143"/>
    <x v="1"/>
    <d v="2024-07-19T00:00:00"/>
    <x v="1"/>
    <n v="5"/>
    <x v="0"/>
    <x v="1"/>
    <x v="1"/>
    <x v="1"/>
    <n v="0"/>
    <n v="2"/>
    <n v="3"/>
  </r>
  <r>
    <n v="3376"/>
    <x v="144"/>
    <x v="0"/>
    <d v="2024-07-20T00:00:00"/>
    <x v="0"/>
    <n v="15"/>
    <x v="1"/>
    <x v="0"/>
    <x v="0"/>
    <x v="0"/>
    <n v="20"/>
    <n v="5"/>
    <n v="60"/>
  </r>
  <r>
    <n v="3377"/>
    <x v="145"/>
    <x v="2"/>
    <d v="2024-07-21T00:00:00"/>
    <x v="1"/>
    <n v="10"/>
    <x v="0"/>
    <x v="1"/>
    <x v="1"/>
    <x v="0"/>
    <n v="20"/>
    <n v="10"/>
    <n v="20"/>
  </r>
  <r>
    <n v="3378"/>
    <x v="146"/>
    <x v="1"/>
    <d v="2024-07-22T00:00:00"/>
    <x v="0"/>
    <n v="5"/>
    <x v="2"/>
    <x v="1"/>
    <x v="1"/>
    <x v="1"/>
    <n v="0"/>
    <n v="0"/>
    <n v="5"/>
  </r>
  <r>
    <n v="3379"/>
    <x v="147"/>
    <x v="0"/>
    <d v="2024-07-23T00:00:00"/>
    <x v="1"/>
    <n v="15"/>
    <x v="0"/>
    <x v="0"/>
    <x v="0"/>
    <x v="0"/>
    <n v="20"/>
    <n v="3"/>
    <n v="62"/>
  </r>
  <r>
    <n v="3380"/>
    <x v="148"/>
    <x v="2"/>
    <d v="2024-07-24T00:00:00"/>
    <x v="0"/>
    <n v="10"/>
    <x v="1"/>
    <x v="1"/>
    <x v="1"/>
    <x v="0"/>
    <n v="20"/>
    <n v="15"/>
    <n v="15"/>
  </r>
  <r>
    <n v="3381"/>
    <x v="149"/>
    <x v="1"/>
    <d v="2024-07-25T00:00:00"/>
    <x v="1"/>
    <n v="5"/>
    <x v="0"/>
    <x v="1"/>
    <x v="1"/>
    <x v="1"/>
    <n v="0"/>
    <n v="1"/>
    <n v="4"/>
  </r>
  <r>
    <n v="3382"/>
    <x v="150"/>
    <x v="0"/>
    <d v="2024-07-26T00:00:00"/>
    <x v="0"/>
    <n v="15"/>
    <x v="2"/>
    <x v="0"/>
    <x v="0"/>
    <x v="0"/>
    <n v="20"/>
    <n v="7"/>
    <n v="58"/>
  </r>
  <r>
    <n v="3383"/>
    <x v="151"/>
    <x v="2"/>
    <d v="2024-07-27T00:00:00"/>
    <x v="1"/>
    <n v="10"/>
    <x v="0"/>
    <x v="1"/>
    <x v="1"/>
    <x v="0"/>
    <n v="20"/>
    <n v="10"/>
    <n v="20"/>
  </r>
  <r>
    <n v="3384"/>
    <x v="152"/>
    <x v="1"/>
    <d v="2024-07-28T00:00:00"/>
    <x v="0"/>
    <n v="5"/>
    <x v="1"/>
    <x v="1"/>
    <x v="1"/>
    <x v="1"/>
    <n v="0"/>
    <n v="0"/>
    <n v="5"/>
  </r>
  <r>
    <n v="3385"/>
    <x v="153"/>
    <x v="0"/>
    <d v="2024-07-29T00:00:00"/>
    <x v="1"/>
    <n v="15"/>
    <x v="0"/>
    <x v="0"/>
    <x v="0"/>
    <x v="0"/>
    <n v="20"/>
    <n v="20"/>
    <n v="45"/>
  </r>
  <r>
    <n v="3386"/>
    <x v="154"/>
    <x v="2"/>
    <d v="2024-07-30T00:00:00"/>
    <x v="0"/>
    <n v="10"/>
    <x v="2"/>
    <x v="1"/>
    <x v="1"/>
    <x v="0"/>
    <n v="20"/>
    <n v="15"/>
    <n v="15"/>
  </r>
  <r>
    <n v="3387"/>
    <x v="155"/>
    <x v="1"/>
    <d v="2024-07-31T00:00:00"/>
    <x v="1"/>
    <n v="5"/>
    <x v="0"/>
    <x v="1"/>
    <x v="1"/>
    <x v="1"/>
    <n v="0"/>
    <n v="1"/>
    <n v="4"/>
  </r>
  <r>
    <n v="3388"/>
    <x v="156"/>
    <x v="0"/>
    <d v="2024-08-01T00:00:00"/>
    <x v="0"/>
    <n v="15"/>
    <x v="1"/>
    <x v="0"/>
    <x v="0"/>
    <x v="0"/>
    <n v="20"/>
    <n v="3"/>
    <n v="62"/>
  </r>
  <r>
    <n v="3389"/>
    <x v="157"/>
    <x v="2"/>
    <d v="2024-08-02T00:00:00"/>
    <x v="1"/>
    <n v="10"/>
    <x v="0"/>
    <x v="1"/>
    <x v="1"/>
    <x v="0"/>
    <n v="20"/>
    <n v="10"/>
    <n v="20"/>
  </r>
  <r>
    <n v="3390"/>
    <x v="158"/>
    <x v="1"/>
    <d v="2024-08-03T00:00:00"/>
    <x v="0"/>
    <n v="5"/>
    <x v="2"/>
    <x v="1"/>
    <x v="1"/>
    <x v="1"/>
    <n v="0"/>
    <n v="0"/>
    <n v="5"/>
  </r>
  <r>
    <n v="3391"/>
    <x v="58"/>
    <x v="0"/>
    <d v="2024-08-04T00:00:00"/>
    <x v="1"/>
    <n v="15"/>
    <x v="0"/>
    <x v="0"/>
    <x v="0"/>
    <x v="0"/>
    <n v="20"/>
    <n v="15"/>
    <n v="50"/>
  </r>
  <r>
    <n v="3392"/>
    <x v="159"/>
    <x v="2"/>
    <d v="2024-08-05T00:00:00"/>
    <x v="0"/>
    <n v="10"/>
    <x v="1"/>
    <x v="1"/>
    <x v="1"/>
    <x v="0"/>
    <n v="20"/>
    <n v="15"/>
    <n v="15"/>
  </r>
  <r>
    <n v="3393"/>
    <x v="160"/>
    <x v="1"/>
    <d v="2024-08-06T00:00:00"/>
    <x v="1"/>
    <n v="5"/>
    <x v="0"/>
    <x v="1"/>
    <x v="1"/>
    <x v="1"/>
    <n v="0"/>
    <n v="1"/>
    <n v="4"/>
  </r>
  <r>
    <n v="3394"/>
    <x v="161"/>
    <x v="0"/>
    <d v="2024-08-07T00:00:00"/>
    <x v="0"/>
    <n v="15"/>
    <x v="2"/>
    <x v="0"/>
    <x v="0"/>
    <x v="0"/>
    <n v="20"/>
    <n v="7"/>
    <n v="58"/>
  </r>
  <r>
    <n v="3395"/>
    <x v="162"/>
    <x v="2"/>
    <d v="2024-08-08T00:00:00"/>
    <x v="1"/>
    <n v="10"/>
    <x v="0"/>
    <x v="1"/>
    <x v="1"/>
    <x v="0"/>
    <n v="20"/>
    <n v="10"/>
    <n v="20"/>
  </r>
  <r>
    <n v="3396"/>
    <x v="163"/>
    <x v="1"/>
    <d v="2024-08-09T00:00:00"/>
    <x v="0"/>
    <n v="5"/>
    <x v="1"/>
    <x v="1"/>
    <x v="1"/>
    <x v="1"/>
    <n v="0"/>
    <n v="0"/>
    <n v="5"/>
  </r>
  <r>
    <n v="3397"/>
    <x v="90"/>
    <x v="0"/>
    <d v="2024-08-10T00:00:00"/>
    <x v="1"/>
    <n v="15"/>
    <x v="0"/>
    <x v="0"/>
    <x v="0"/>
    <x v="0"/>
    <n v="20"/>
    <n v="20"/>
    <n v="45"/>
  </r>
  <r>
    <n v="3398"/>
    <x v="164"/>
    <x v="2"/>
    <d v="2024-08-11T00:00:00"/>
    <x v="0"/>
    <n v="10"/>
    <x v="2"/>
    <x v="1"/>
    <x v="1"/>
    <x v="0"/>
    <n v="20"/>
    <n v="15"/>
    <n v="15"/>
  </r>
  <r>
    <n v="3399"/>
    <x v="165"/>
    <x v="1"/>
    <d v="2024-08-12T00:00:00"/>
    <x v="1"/>
    <n v="5"/>
    <x v="0"/>
    <x v="1"/>
    <x v="1"/>
    <x v="1"/>
    <n v="0"/>
    <n v="1"/>
    <n v="4"/>
  </r>
  <r>
    <n v="3400"/>
    <x v="166"/>
    <x v="0"/>
    <d v="2024-08-13T00:00:00"/>
    <x v="0"/>
    <n v="15"/>
    <x v="1"/>
    <x v="0"/>
    <x v="0"/>
    <x v="0"/>
    <n v="20"/>
    <n v="5"/>
    <n v="60"/>
  </r>
  <r>
    <n v="3401"/>
    <x v="167"/>
    <x v="2"/>
    <d v="2024-08-14T00:00:00"/>
    <x v="1"/>
    <n v="10"/>
    <x v="0"/>
    <x v="1"/>
    <x v="1"/>
    <x v="0"/>
    <n v="20"/>
    <n v="10"/>
    <n v="20"/>
  </r>
  <r>
    <n v="3402"/>
    <x v="168"/>
    <x v="1"/>
    <d v="2024-08-15T00:00:00"/>
    <x v="0"/>
    <n v="5"/>
    <x v="2"/>
    <x v="1"/>
    <x v="1"/>
    <x v="1"/>
    <n v="0"/>
    <n v="0"/>
    <n v="5"/>
  </r>
  <r>
    <n v="3403"/>
    <x v="169"/>
    <x v="0"/>
    <d v="2024-08-16T00:00:00"/>
    <x v="1"/>
    <n v="15"/>
    <x v="0"/>
    <x v="0"/>
    <x v="0"/>
    <x v="0"/>
    <n v="20"/>
    <n v="3"/>
    <n v="62"/>
  </r>
  <r>
    <n v="3404"/>
    <x v="170"/>
    <x v="2"/>
    <d v="2024-08-17T00:00:00"/>
    <x v="0"/>
    <n v="10"/>
    <x v="1"/>
    <x v="1"/>
    <x v="1"/>
    <x v="0"/>
    <n v="20"/>
    <n v="15"/>
    <n v="15"/>
  </r>
  <r>
    <n v="3405"/>
    <x v="171"/>
    <x v="1"/>
    <d v="2024-08-18T00:00:00"/>
    <x v="1"/>
    <n v="5"/>
    <x v="0"/>
    <x v="1"/>
    <x v="1"/>
    <x v="1"/>
    <n v="0"/>
    <n v="1"/>
    <n v="4"/>
  </r>
  <r>
    <n v="3406"/>
    <x v="172"/>
    <x v="1"/>
    <d v="2024-08-19T00:00:00"/>
    <x v="0"/>
    <n v="5"/>
    <x v="0"/>
    <x v="1"/>
    <x v="1"/>
    <x v="1"/>
    <n v="0"/>
    <n v="0"/>
    <n v="5"/>
  </r>
  <r>
    <n v="3407"/>
    <x v="173"/>
    <x v="0"/>
    <d v="2024-08-20T00:00:00"/>
    <x v="1"/>
    <n v="15"/>
    <x v="2"/>
    <x v="0"/>
    <x v="0"/>
    <x v="0"/>
    <n v="20"/>
    <n v="7"/>
    <n v="58"/>
  </r>
  <r>
    <n v="3408"/>
    <x v="174"/>
    <x v="2"/>
    <d v="2024-08-21T00:00:00"/>
    <x v="0"/>
    <n v="10"/>
    <x v="1"/>
    <x v="1"/>
    <x v="1"/>
    <x v="0"/>
    <n v="20"/>
    <n v="10"/>
    <n v="20"/>
  </r>
  <r>
    <n v="3409"/>
    <x v="175"/>
    <x v="1"/>
    <d v="2024-08-22T00:00:00"/>
    <x v="1"/>
    <n v="5"/>
    <x v="2"/>
    <x v="1"/>
    <x v="1"/>
    <x v="1"/>
    <n v="0"/>
    <n v="1"/>
    <n v="4"/>
  </r>
  <r>
    <n v="3410"/>
    <x v="176"/>
    <x v="0"/>
    <d v="2024-08-23T00:00:00"/>
    <x v="0"/>
    <n v="15"/>
    <x v="0"/>
    <x v="0"/>
    <x v="0"/>
    <x v="0"/>
    <n v="20"/>
    <n v="15"/>
    <n v="50"/>
  </r>
  <r>
    <n v="3411"/>
    <x v="177"/>
    <x v="2"/>
    <d v="2024-08-24T00:00:00"/>
    <x v="1"/>
    <n v="10"/>
    <x v="0"/>
    <x v="1"/>
    <x v="1"/>
    <x v="0"/>
    <n v="20"/>
    <n v="5"/>
    <n v="25"/>
  </r>
  <r>
    <n v="3412"/>
    <x v="178"/>
    <x v="1"/>
    <d v="2024-08-25T00:00:00"/>
    <x v="0"/>
    <n v="5"/>
    <x v="1"/>
    <x v="1"/>
    <x v="1"/>
    <x v="1"/>
    <n v="0"/>
    <n v="0"/>
    <n v="5"/>
  </r>
  <r>
    <n v="3413"/>
    <x v="179"/>
    <x v="0"/>
    <d v="2024-08-26T00:00:00"/>
    <x v="1"/>
    <n v="15"/>
    <x v="2"/>
    <x v="0"/>
    <x v="0"/>
    <x v="0"/>
    <n v="20"/>
    <n v="20"/>
    <n v="45"/>
  </r>
  <r>
    <n v="3414"/>
    <x v="180"/>
    <x v="2"/>
    <d v="2024-08-27T00:00:00"/>
    <x v="0"/>
    <n v="10"/>
    <x v="2"/>
    <x v="1"/>
    <x v="1"/>
    <x v="0"/>
    <n v="20"/>
    <n v="12"/>
    <n v="18"/>
  </r>
  <r>
    <n v="3415"/>
    <x v="181"/>
    <x v="1"/>
    <d v="2024-08-28T00:00:00"/>
    <x v="1"/>
    <n v="5"/>
    <x v="0"/>
    <x v="1"/>
    <x v="1"/>
    <x v="1"/>
    <n v="0"/>
    <n v="2"/>
    <n v="3"/>
  </r>
  <r>
    <n v="3416"/>
    <x v="182"/>
    <x v="0"/>
    <d v="2024-08-29T00:00:00"/>
    <x v="0"/>
    <n v="15"/>
    <x v="1"/>
    <x v="0"/>
    <x v="0"/>
    <x v="0"/>
    <n v="20"/>
    <n v="5"/>
    <n v="60"/>
  </r>
  <r>
    <n v="3417"/>
    <x v="183"/>
    <x v="2"/>
    <d v="2024-08-30T00:00:00"/>
    <x v="1"/>
    <n v="10"/>
    <x v="0"/>
    <x v="1"/>
    <x v="1"/>
    <x v="0"/>
    <n v="20"/>
    <n v="10"/>
    <n v="20"/>
  </r>
  <r>
    <n v="3418"/>
    <x v="184"/>
    <x v="1"/>
    <d v="2024-08-31T00:00:00"/>
    <x v="0"/>
    <n v="5"/>
    <x v="2"/>
    <x v="1"/>
    <x v="1"/>
    <x v="1"/>
    <n v="0"/>
    <n v="0"/>
    <n v="5"/>
  </r>
  <r>
    <n v="3419"/>
    <x v="185"/>
    <x v="0"/>
    <d v="2024-09-01T00:00:00"/>
    <x v="1"/>
    <n v="15"/>
    <x v="0"/>
    <x v="0"/>
    <x v="0"/>
    <x v="0"/>
    <n v="20"/>
    <n v="3"/>
    <n v="62"/>
  </r>
  <r>
    <n v="3420"/>
    <x v="186"/>
    <x v="2"/>
    <d v="2024-09-02T00:00:00"/>
    <x v="0"/>
    <n v="10"/>
    <x v="1"/>
    <x v="1"/>
    <x v="1"/>
    <x v="0"/>
    <n v="20"/>
    <n v="15"/>
    <n v="15"/>
  </r>
  <r>
    <n v="3421"/>
    <x v="15"/>
    <x v="1"/>
    <d v="2024-09-03T00:00:00"/>
    <x v="1"/>
    <n v="5"/>
    <x v="0"/>
    <x v="1"/>
    <x v="1"/>
    <x v="1"/>
    <n v="0"/>
    <n v="1"/>
    <n v="4"/>
  </r>
  <r>
    <n v="3422"/>
    <x v="187"/>
    <x v="0"/>
    <d v="2024-09-04T00:00:00"/>
    <x v="0"/>
    <n v="15"/>
    <x v="2"/>
    <x v="0"/>
    <x v="0"/>
    <x v="0"/>
    <n v="20"/>
    <n v="7"/>
    <n v="58"/>
  </r>
  <r>
    <n v="3423"/>
    <x v="188"/>
    <x v="2"/>
    <d v="2024-09-05T00:00:00"/>
    <x v="1"/>
    <n v="10"/>
    <x v="0"/>
    <x v="1"/>
    <x v="1"/>
    <x v="0"/>
    <n v="20"/>
    <n v="10"/>
    <n v="20"/>
  </r>
  <r>
    <n v="3424"/>
    <x v="14"/>
    <x v="1"/>
    <d v="2024-09-06T00:00:00"/>
    <x v="0"/>
    <n v="5"/>
    <x v="1"/>
    <x v="1"/>
    <x v="1"/>
    <x v="1"/>
    <n v="0"/>
    <n v="0"/>
    <n v="5"/>
  </r>
  <r>
    <n v="3425"/>
    <x v="189"/>
    <x v="0"/>
    <d v="2024-09-07T00:00:00"/>
    <x v="1"/>
    <n v="15"/>
    <x v="0"/>
    <x v="0"/>
    <x v="0"/>
    <x v="0"/>
    <n v="20"/>
    <n v="20"/>
    <n v="45"/>
  </r>
  <r>
    <n v="3426"/>
    <x v="167"/>
    <x v="2"/>
    <d v="2024-09-08T00:00:00"/>
    <x v="0"/>
    <n v="10"/>
    <x v="2"/>
    <x v="1"/>
    <x v="1"/>
    <x v="0"/>
    <n v="20"/>
    <n v="15"/>
    <n v="15"/>
  </r>
  <r>
    <n v="3427"/>
    <x v="190"/>
    <x v="1"/>
    <d v="2024-09-09T00:00:00"/>
    <x v="1"/>
    <n v="5"/>
    <x v="0"/>
    <x v="1"/>
    <x v="1"/>
    <x v="1"/>
    <n v="0"/>
    <n v="1"/>
    <n v="4"/>
  </r>
  <r>
    <n v="3428"/>
    <x v="191"/>
    <x v="0"/>
    <d v="2024-09-10T00:00:00"/>
    <x v="0"/>
    <n v="15"/>
    <x v="1"/>
    <x v="0"/>
    <x v="0"/>
    <x v="0"/>
    <n v="20"/>
    <n v="3"/>
    <n v="62"/>
  </r>
  <r>
    <n v="3429"/>
    <x v="192"/>
    <x v="2"/>
    <d v="2024-09-11T00:00:00"/>
    <x v="1"/>
    <n v="10"/>
    <x v="0"/>
    <x v="1"/>
    <x v="1"/>
    <x v="0"/>
    <n v="20"/>
    <n v="10"/>
    <n v="20"/>
  </r>
  <r>
    <n v="3430"/>
    <x v="193"/>
    <x v="1"/>
    <d v="2024-09-12T00:00:00"/>
    <x v="0"/>
    <n v="5"/>
    <x v="2"/>
    <x v="1"/>
    <x v="1"/>
    <x v="1"/>
    <n v="0"/>
    <n v="0"/>
    <n v="5"/>
  </r>
  <r>
    <n v="3431"/>
    <x v="194"/>
    <x v="0"/>
    <d v="2024-09-13T00:00:00"/>
    <x v="1"/>
    <n v="15"/>
    <x v="0"/>
    <x v="0"/>
    <x v="0"/>
    <x v="0"/>
    <n v="20"/>
    <n v="15"/>
    <n v="50"/>
  </r>
  <r>
    <n v="3432"/>
    <x v="195"/>
    <x v="2"/>
    <d v="2024-09-14T00:00:00"/>
    <x v="0"/>
    <n v="10"/>
    <x v="1"/>
    <x v="1"/>
    <x v="1"/>
    <x v="0"/>
    <n v="20"/>
    <n v="15"/>
    <n v="15"/>
  </r>
  <r>
    <n v="3433"/>
    <x v="196"/>
    <x v="1"/>
    <d v="2024-09-15T00:00:00"/>
    <x v="1"/>
    <n v="5"/>
    <x v="0"/>
    <x v="1"/>
    <x v="1"/>
    <x v="1"/>
    <n v="0"/>
    <n v="1"/>
    <n v="4"/>
  </r>
  <r>
    <n v="3434"/>
    <x v="197"/>
    <x v="0"/>
    <d v="2024-09-16T00:00:00"/>
    <x v="0"/>
    <n v="15"/>
    <x v="2"/>
    <x v="0"/>
    <x v="0"/>
    <x v="0"/>
    <n v="20"/>
    <n v="7"/>
    <n v="58"/>
  </r>
  <r>
    <n v="3435"/>
    <x v="198"/>
    <x v="2"/>
    <d v="2024-09-17T00:00:00"/>
    <x v="1"/>
    <n v="10"/>
    <x v="0"/>
    <x v="1"/>
    <x v="1"/>
    <x v="0"/>
    <n v="20"/>
    <n v="10"/>
    <n v="20"/>
  </r>
  <r>
    <n v="3436"/>
    <x v="199"/>
    <x v="1"/>
    <d v="2024-09-18T00:00:00"/>
    <x v="0"/>
    <n v="5"/>
    <x v="0"/>
    <x v="1"/>
    <x v="1"/>
    <x v="1"/>
    <n v="0"/>
    <n v="0"/>
    <n v="5"/>
  </r>
  <r>
    <n v="3437"/>
    <x v="200"/>
    <x v="0"/>
    <d v="2024-09-19T00:00:00"/>
    <x v="1"/>
    <n v="15"/>
    <x v="2"/>
    <x v="0"/>
    <x v="0"/>
    <x v="0"/>
    <n v="20"/>
    <n v="7"/>
    <n v="58"/>
  </r>
  <r>
    <n v="3438"/>
    <x v="201"/>
    <x v="2"/>
    <d v="2024-09-20T00:00:00"/>
    <x v="0"/>
    <n v="10"/>
    <x v="1"/>
    <x v="1"/>
    <x v="1"/>
    <x v="0"/>
    <n v="20"/>
    <n v="10"/>
    <n v="20"/>
  </r>
  <r>
    <n v="3439"/>
    <x v="202"/>
    <x v="1"/>
    <d v="2024-09-21T00:00:00"/>
    <x v="1"/>
    <n v="5"/>
    <x v="2"/>
    <x v="1"/>
    <x v="1"/>
    <x v="1"/>
    <n v="0"/>
    <n v="1"/>
    <n v="4"/>
  </r>
  <r>
    <n v="3440"/>
    <x v="203"/>
    <x v="0"/>
    <d v="2024-09-22T00:00:00"/>
    <x v="0"/>
    <n v="15"/>
    <x v="0"/>
    <x v="0"/>
    <x v="0"/>
    <x v="0"/>
    <n v="20"/>
    <n v="15"/>
    <n v="50"/>
  </r>
  <r>
    <n v="3441"/>
    <x v="204"/>
    <x v="2"/>
    <d v="2024-09-23T00:00:00"/>
    <x v="1"/>
    <n v="10"/>
    <x v="0"/>
    <x v="1"/>
    <x v="1"/>
    <x v="0"/>
    <n v="20"/>
    <n v="5"/>
    <n v="25"/>
  </r>
  <r>
    <n v="3442"/>
    <x v="205"/>
    <x v="1"/>
    <d v="2024-09-24T00:00:00"/>
    <x v="0"/>
    <n v="5"/>
    <x v="1"/>
    <x v="1"/>
    <x v="1"/>
    <x v="1"/>
    <n v="0"/>
    <n v="0"/>
    <n v="5"/>
  </r>
  <r>
    <n v="3443"/>
    <x v="206"/>
    <x v="0"/>
    <d v="2024-09-25T00:00:00"/>
    <x v="1"/>
    <n v="15"/>
    <x v="2"/>
    <x v="0"/>
    <x v="0"/>
    <x v="0"/>
    <n v="20"/>
    <n v="20"/>
    <n v="45"/>
  </r>
  <r>
    <n v="3444"/>
    <x v="207"/>
    <x v="2"/>
    <d v="2024-09-26T00:00:00"/>
    <x v="0"/>
    <n v="10"/>
    <x v="2"/>
    <x v="1"/>
    <x v="1"/>
    <x v="0"/>
    <n v="20"/>
    <n v="12"/>
    <n v="18"/>
  </r>
  <r>
    <n v="3445"/>
    <x v="37"/>
    <x v="1"/>
    <d v="2024-09-27T00:00:00"/>
    <x v="1"/>
    <n v="5"/>
    <x v="0"/>
    <x v="1"/>
    <x v="1"/>
    <x v="1"/>
    <n v="0"/>
    <n v="2"/>
    <n v="3"/>
  </r>
  <r>
    <n v="3446"/>
    <x v="208"/>
    <x v="0"/>
    <d v="2024-09-28T00:00:00"/>
    <x v="0"/>
    <n v="15"/>
    <x v="1"/>
    <x v="0"/>
    <x v="0"/>
    <x v="0"/>
    <n v="20"/>
    <n v="5"/>
    <n v="60"/>
  </r>
  <r>
    <n v="3447"/>
    <x v="209"/>
    <x v="2"/>
    <d v="2024-09-29T00:00:00"/>
    <x v="1"/>
    <n v="10"/>
    <x v="0"/>
    <x v="1"/>
    <x v="1"/>
    <x v="0"/>
    <n v="20"/>
    <n v="10"/>
    <n v="20"/>
  </r>
  <r>
    <n v="3448"/>
    <x v="210"/>
    <x v="1"/>
    <d v="2024-09-30T00:00:00"/>
    <x v="0"/>
    <n v="5"/>
    <x v="2"/>
    <x v="1"/>
    <x v="1"/>
    <x v="1"/>
    <n v="0"/>
    <n v="0"/>
    <n v="5"/>
  </r>
  <r>
    <n v="3449"/>
    <x v="211"/>
    <x v="0"/>
    <d v="2024-10-01T00:00:00"/>
    <x v="1"/>
    <n v="15"/>
    <x v="0"/>
    <x v="0"/>
    <x v="0"/>
    <x v="0"/>
    <n v="20"/>
    <n v="3"/>
    <n v="62"/>
  </r>
  <r>
    <n v="3450"/>
    <x v="212"/>
    <x v="2"/>
    <d v="2024-10-02T00:00:00"/>
    <x v="0"/>
    <n v="10"/>
    <x v="1"/>
    <x v="1"/>
    <x v="1"/>
    <x v="0"/>
    <n v="20"/>
    <n v="15"/>
    <n v="15"/>
  </r>
  <r>
    <n v="3451"/>
    <x v="213"/>
    <x v="1"/>
    <d v="2024-10-03T00:00:00"/>
    <x v="1"/>
    <n v="5"/>
    <x v="0"/>
    <x v="1"/>
    <x v="1"/>
    <x v="1"/>
    <n v="0"/>
    <n v="1"/>
    <n v="4"/>
  </r>
  <r>
    <n v="3452"/>
    <x v="191"/>
    <x v="0"/>
    <d v="2024-10-04T00:00:00"/>
    <x v="0"/>
    <n v="15"/>
    <x v="2"/>
    <x v="0"/>
    <x v="0"/>
    <x v="0"/>
    <n v="20"/>
    <n v="7"/>
    <n v="58"/>
  </r>
  <r>
    <n v="3453"/>
    <x v="45"/>
    <x v="2"/>
    <d v="2024-10-05T00:00:00"/>
    <x v="1"/>
    <n v="10"/>
    <x v="0"/>
    <x v="1"/>
    <x v="1"/>
    <x v="0"/>
    <n v="20"/>
    <n v="10"/>
    <n v="20"/>
  </r>
  <r>
    <n v="3454"/>
    <x v="214"/>
    <x v="1"/>
    <d v="2024-10-06T00:00:00"/>
    <x v="0"/>
    <n v="5"/>
    <x v="1"/>
    <x v="1"/>
    <x v="1"/>
    <x v="1"/>
    <n v="0"/>
    <n v="0"/>
    <n v="5"/>
  </r>
  <r>
    <n v="3455"/>
    <x v="215"/>
    <x v="0"/>
    <d v="2024-10-07T00:00:00"/>
    <x v="1"/>
    <n v="15"/>
    <x v="0"/>
    <x v="0"/>
    <x v="0"/>
    <x v="0"/>
    <n v="20"/>
    <n v="20"/>
    <n v="45"/>
  </r>
  <r>
    <n v="3456"/>
    <x v="216"/>
    <x v="2"/>
    <d v="2024-10-08T00:00:00"/>
    <x v="0"/>
    <n v="10"/>
    <x v="2"/>
    <x v="1"/>
    <x v="1"/>
    <x v="0"/>
    <n v="20"/>
    <n v="15"/>
    <n v="15"/>
  </r>
  <r>
    <n v="3457"/>
    <x v="217"/>
    <x v="1"/>
    <d v="2024-10-09T00:00:00"/>
    <x v="1"/>
    <n v="5"/>
    <x v="0"/>
    <x v="1"/>
    <x v="1"/>
    <x v="1"/>
    <n v="0"/>
    <n v="1"/>
    <n v="4"/>
  </r>
  <r>
    <n v="3458"/>
    <x v="218"/>
    <x v="0"/>
    <d v="2024-10-10T00:00:00"/>
    <x v="0"/>
    <n v="15"/>
    <x v="1"/>
    <x v="0"/>
    <x v="0"/>
    <x v="0"/>
    <n v="20"/>
    <n v="3"/>
    <n v="62"/>
  </r>
  <r>
    <n v="3459"/>
    <x v="219"/>
    <x v="2"/>
    <d v="2024-10-11T00:00:00"/>
    <x v="1"/>
    <n v="10"/>
    <x v="0"/>
    <x v="1"/>
    <x v="1"/>
    <x v="0"/>
    <n v="20"/>
    <n v="10"/>
    <n v="20"/>
  </r>
  <r>
    <n v="3460"/>
    <x v="127"/>
    <x v="1"/>
    <d v="2024-10-12T00:00:00"/>
    <x v="0"/>
    <n v="5"/>
    <x v="2"/>
    <x v="1"/>
    <x v="1"/>
    <x v="1"/>
    <n v="0"/>
    <n v="0"/>
    <n v="5"/>
  </r>
  <r>
    <n v="3461"/>
    <x v="220"/>
    <x v="0"/>
    <d v="2024-10-13T00:00:00"/>
    <x v="1"/>
    <n v="15"/>
    <x v="0"/>
    <x v="0"/>
    <x v="0"/>
    <x v="0"/>
    <n v="20"/>
    <n v="15"/>
    <n v="50"/>
  </r>
  <r>
    <n v="3462"/>
    <x v="221"/>
    <x v="2"/>
    <d v="2024-10-14T00:00:00"/>
    <x v="0"/>
    <n v="10"/>
    <x v="1"/>
    <x v="1"/>
    <x v="1"/>
    <x v="0"/>
    <n v="20"/>
    <n v="15"/>
    <n v="15"/>
  </r>
  <r>
    <n v="3463"/>
    <x v="222"/>
    <x v="1"/>
    <d v="2024-10-15T00:00:00"/>
    <x v="1"/>
    <n v="5"/>
    <x v="0"/>
    <x v="1"/>
    <x v="1"/>
    <x v="1"/>
    <n v="0"/>
    <n v="1"/>
    <n v="4"/>
  </r>
  <r>
    <n v="3464"/>
    <x v="223"/>
    <x v="0"/>
    <d v="2024-10-16T00:00:00"/>
    <x v="0"/>
    <n v="15"/>
    <x v="2"/>
    <x v="0"/>
    <x v="0"/>
    <x v="0"/>
    <n v="20"/>
    <n v="7"/>
    <n v="58"/>
  </r>
  <r>
    <n v="3465"/>
    <x v="224"/>
    <x v="2"/>
    <d v="2024-10-17T00:00:00"/>
    <x v="1"/>
    <n v="10"/>
    <x v="0"/>
    <x v="1"/>
    <x v="1"/>
    <x v="0"/>
    <n v="20"/>
    <n v="10"/>
    <n v="20"/>
  </r>
  <r>
    <n v="3466"/>
    <x v="225"/>
    <x v="1"/>
    <d v="2024-10-18T00:00:00"/>
    <x v="0"/>
    <n v="5"/>
    <x v="1"/>
    <x v="1"/>
    <x v="1"/>
    <x v="1"/>
    <n v="0"/>
    <n v="0"/>
    <n v="5"/>
  </r>
  <r>
    <n v="3467"/>
    <x v="226"/>
    <x v="0"/>
    <d v="2024-10-19T00:00:00"/>
    <x v="1"/>
    <n v="15"/>
    <x v="0"/>
    <x v="0"/>
    <x v="0"/>
    <x v="0"/>
    <n v="20"/>
    <n v="15"/>
    <n v="50"/>
  </r>
  <r>
    <n v="3468"/>
    <x v="227"/>
    <x v="2"/>
    <d v="2024-10-20T00:00:00"/>
    <x v="0"/>
    <n v="10"/>
    <x v="2"/>
    <x v="1"/>
    <x v="1"/>
    <x v="0"/>
    <n v="20"/>
    <n v="12"/>
    <n v="18"/>
  </r>
  <r>
    <n v="3469"/>
    <x v="228"/>
    <x v="1"/>
    <d v="2024-10-21T00:00:00"/>
    <x v="1"/>
    <n v="5"/>
    <x v="0"/>
    <x v="1"/>
    <x v="1"/>
    <x v="1"/>
    <n v="0"/>
    <n v="2"/>
    <n v="3"/>
  </r>
  <r>
    <n v="3470"/>
    <x v="229"/>
    <x v="0"/>
    <d v="2024-10-22T00:00:00"/>
    <x v="0"/>
    <n v="15"/>
    <x v="1"/>
    <x v="0"/>
    <x v="0"/>
    <x v="0"/>
    <n v="20"/>
    <n v="5"/>
    <n v="60"/>
  </r>
  <r>
    <n v="3471"/>
    <x v="230"/>
    <x v="2"/>
    <d v="2024-10-23T00:00:00"/>
    <x v="1"/>
    <n v="10"/>
    <x v="0"/>
    <x v="1"/>
    <x v="1"/>
    <x v="0"/>
    <n v="20"/>
    <n v="10"/>
    <n v="20"/>
  </r>
  <r>
    <n v="3472"/>
    <x v="231"/>
    <x v="1"/>
    <d v="2024-10-24T00:00:00"/>
    <x v="0"/>
    <n v="5"/>
    <x v="2"/>
    <x v="1"/>
    <x v="1"/>
    <x v="1"/>
    <n v="0"/>
    <n v="0"/>
    <n v="5"/>
  </r>
  <r>
    <n v="3473"/>
    <x v="140"/>
    <x v="0"/>
    <d v="2024-10-25T00:00:00"/>
    <x v="1"/>
    <n v="15"/>
    <x v="0"/>
    <x v="0"/>
    <x v="0"/>
    <x v="0"/>
    <n v="20"/>
    <n v="3"/>
    <n v="62"/>
  </r>
  <r>
    <n v="3474"/>
    <x v="232"/>
    <x v="2"/>
    <d v="2024-10-26T00:00:00"/>
    <x v="0"/>
    <n v="10"/>
    <x v="1"/>
    <x v="1"/>
    <x v="1"/>
    <x v="0"/>
    <n v="20"/>
    <n v="15"/>
    <n v="15"/>
  </r>
  <r>
    <n v="3475"/>
    <x v="233"/>
    <x v="1"/>
    <d v="2024-10-27T00:00:00"/>
    <x v="1"/>
    <n v="5"/>
    <x v="0"/>
    <x v="1"/>
    <x v="1"/>
    <x v="1"/>
    <n v="0"/>
    <n v="1"/>
    <n v="4"/>
  </r>
  <r>
    <n v="3476"/>
    <x v="234"/>
    <x v="0"/>
    <d v="2024-10-28T00:00:00"/>
    <x v="0"/>
    <n v="15"/>
    <x v="2"/>
    <x v="0"/>
    <x v="0"/>
    <x v="0"/>
    <n v="20"/>
    <n v="7"/>
    <n v="58"/>
  </r>
  <r>
    <n v="3477"/>
    <x v="235"/>
    <x v="2"/>
    <d v="2024-10-29T00:00:00"/>
    <x v="1"/>
    <n v="10"/>
    <x v="0"/>
    <x v="1"/>
    <x v="1"/>
    <x v="0"/>
    <n v="20"/>
    <n v="10"/>
    <n v="20"/>
  </r>
  <r>
    <n v="3478"/>
    <x v="236"/>
    <x v="1"/>
    <d v="2024-10-30T00:00:00"/>
    <x v="0"/>
    <n v="5"/>
    <x v="1"/>
    <x v="1"/>
    <x v="1"/>
    <x v="1"/>
    <n v="0"/>
    <n v="0"/>
    <n v="5"/>
  </r>
  <r>
    <n v="3479"/>
    <x v="237"/>
    <x v="0"/>
    <d v="2024-10-31T00:00:00"/>
    <x v="1"/>
    <n v="15"/>
    <x v="0"/>
    <x v="0"/>
    <x v="0"/>
    <x v="0"/>
    <n v="20"/>
    <n v="20"/>
    <n v="45"/>
  </r>
  <r>
    <n v="3480"/>
    <x v="238"/>
    <x v="2"/>
    <d v="2024-11-01T00:00:00"/>
    <x v="0"/>
    <n v="10"/>
    <x v="2"/>
    <x v="1"/>
    <x v="1"/>
    <x v="0"/>
    <n v="20"/>
    <n v="15"/>
    <n v="15"/>
  </r>
  <r>
    <n v="3481"/>
    <x v="239"/>
    <x v="1"/>
    <d v="2024-11-02T00:00:00"/>
    <x v="1"/>
    <n v="5"/>
    <x v="0"/>
    <x v="1"/>
    <x v="1"/>
    <x v="1"/>
    <n v="0"/>
    <n v="1"/>
    <n v="4"/>
  </r>
  <r>
    <n v="3482"/>
    <x v="240"/>
    <x v="0"/>
    <d v="2024-11-03T00:00:00"/>
    <x v="0"/>
    <n v="15"/>
    <x v="1"/>
    <x v="0"/>
    <x v="0"/>
    <x v="0"/>
    <n v="20"/>
    <n v="3"/>
    <n v="62"/>
  </r>
  <r>
    <n v="3483"/>
    <x v="241"/>
    <x v="2"/>
    <d v="2024-11-04T00:00:00"/>
    <x v="1"/>
    <n v="10"/>
    <x v="0"/>
    <x v="1"/>
    <x v="1"/>
    <x v="0"/>
    <n v="20"/>
    <n v="10"/>
    <n v="20"/>
  </r>
  <r>
    <n v="3484"/>
    <x v="242"/>
    <x v="1"/>
    <d v="2024-11-05T00:00:00"/>
    <x v="0"/>
    <n v="5"/>
    <x v="2"/>
    <x v="1"/>
    <x v="1"/>
    <x v="1"/>
    <n v="0"/>
    <n v="0"/>
    <n v="5"/>
  </r>
  <r>
    <n v="3485"/>
    <x v="243"/>
    <x v="0"/>
    <d v="2024-11-06T00:00:00"/>
    <x v="1"/>
    <n v="15"/>
    <x v="0"/>
    <x v="0"/>
    <x v="0"/>
    <x v="0"/>
    <n v="20"/>
    <n v="15"/>
    <n v="50"/>
  </r>
  <r>
    <n v="3486"/>
    <x v="244"/>
    <x v="1"/>
    <d v="2024-11-07T00:00:00"/>
    <x v="0"/>
    <n v="5"/>
    <x v="0"/>
    <x v="1"/>
    <x v="1"/>
    <x v="1"/>
    <n v="0"/>
    <n v="0"/>
    <n v="5"/>
  </r>
  <r>
    <n v="3487"/>
    <x v="245"/>
    <x v="0"/>
    <d v="2024-11-08T00:00:00"/>
    <x v="1"/>
    <n v="15"/>
    <x v="2"/>
    <x v="0"/>
    <x v="0"/>
    <x v="0"/>
    <n v="20"/>
    <n v="7"/>
    <n v="58"/>
  </r>
  <r>
    <n v="3488"/>
    <x v="246"/>
    <x v="2"/>
    <d v="2024-11-09T00:00:00"/>
    <x v="0"/>
    <n v="10"/>
    <x v="1"/>
    <x v="1"/>
    <x v="1"/>
    <x v="0"/>
    <n v="20"/>
    <n v="10"/>
    <n v="20"/>
  </r>
  <r>
    <n v="3489"/>
    <x v="247"/>
    <x v="1"/>
    <d v="2024-11-10T00:00:00"/>
    <x v="1"/>
    <n v="5"/>
    <x v="2"/>
    <x v="1"/>
    <x v="1"/>
    <x v="1"/>
    <n v="0"/>
    <n v="1"/>
    <n v="4"/>
  </r>
  <r>
    <n v="3490"/>
    <x v="248"/>
    <x v="0"/>
    <d v="2024-11-11T00:00:00"/>
    <x v="0"/>
    <n v="15"/>
    <x v="0"/>
    <x v="0"/>
    <x v="0"/>
    <x v="0"/>
    <n v="20"/>
    <n v="15"/>
    <n v="50"/>
  </r>
  <r>
    <n v="3491"/>
    <x v="249"/>
    <x v="2"/>
    <d v="2024-11-12T00:00:00"/>
    <x v="1"/>
    <n v="10"/>
    <x v="0"/>
    <x v="1"/>
    <x v="1"/>
    <x v="0"/>
    <n v="20"/>
    <n v="5"/>
    <n v="25"/>
  </r>
  <r>
    <n v="3492"/>
    <x v="250"/>
    <x v="1"/>
    <d v="2024-11-13T00:00:00"/>
    <x v="0"/>
    <n v="5"/>
    <x v="1"/>
    <x v="1"/>
    <x v="1"/>
    <x v="1"/>
    <n v="0"/>
    <n v="0"/>
    <n v="5"/>
  </r>
  <r>
    <n v="3493"/>
    <x v="251"/>
    <x v="0"/>
    <d v="2024-11-14T00:00:00"/>
    <x v="1"/>
    <n v="15"/>
    <x v="2"/>
    <x v="0"/>
    <x v="0"/>
    <x v="0"/>
    <n v="20"/>
    <n v="20"/>
    <n v="45"/>
  </r>
  <r>
    <n v="3494"/>
    <x v="252"/>
    <x v="2"/>
    <d v="2024-11-15T00:00:00"/>
    <x v="0"/>
    <n v="10"/>
    <x v="2"/>
    <x v="1"/>
    <x v="1"/>
    <x v="0"/>
    <n v="20"/>
    <n v="12"/>
    <n v="18"/>
  </r>
  <r>
    <n v="3495"/>
    <x v="253"/>
    <x v="1"/>
    <d v="2024-11-16T00:00:00"/>
    <x v="1"/>
    <n v="5"/>
    <x v="0"/>
    <x v="1"/>
    <x v="1"/>
    <x v="1"/>
    <n v="0"/>
    <n v="2"/>
    <n v="3"/>
  </r>
  <r>
    <n v="3496"/>
    <x v="254"/>
    <x v="0"/>
    <d v="2024-11-17T00:00:00"/>
    <x v="0"/>
    <n v="15"/>
    <x v="1"/>
    <x v="0"/>
    <x v="0"/>
    <x v="0"/>
    <n v="20"/>
    <n v="5"/>
    <n v="60"/>
  </r>
  <r>
    <n v="3497"/>
    <x v="255"/>
    <x v="2"/>
    <d v="2024-11-18T00:00:00"/>
    <x v="1"/>
    <n v="10"/>
    <x v="0"/>
    <x v="1"/>
    <x v="1"/>
    <x v="0"/>
    <n v="20"/>
    <n v="10"/>
    <n v="20"/>
  </r>
  <r>
    <n v="3498"/>
    <x v="256"/>
    <x v="1"/>
    <d v="2024-11-19T00:00:00"/>
    <x v="0"/>
    <n v="5"/>
    <x v="2"/>
    <x v="1"/>
    <x v="1"/>
    <x v="1"/>
    <n v="0"/>
    <n v="0"/>
    <n v="5"/>
  </r>
  <r>
    <n v="3499"/>
    <x v="257"/>
    <x v="0"/>
    <d v="2024-11-20T00:00:00"/>
    <x v="1"/>
    <n v="15"/>
    <x v="0"/>
    <x v="0"/>
    <x v="0"/>
    <x v="0"/>
    <n v="20"/>
    <n v="3"/>
    <n v="62"/>
  </r>
  <r>
    <n v="3500"/>
    <x v="258"/>
    <x v="2"/>
    <d v="2024-11-21T00:00:00"/>
    <x v="0"/>
    <n v="10"/>
    <x v="1"/>
    <x v="1"/>
    <x v="1"/>
    <x v="0"/>
    <n v="20"/>
    <n v="15"/>
    <n v="15"/>
  </r>
  <r>
    <n v="3501"/>
    <x v="259"/>
    <x v="1"/>
    <d v="2024-11-22T00:00:00"/>
    <x v="1"/>
    <n v="5"/>
    <x v="0"/>
    <x v="1"/>
    <x v="1"/>
    <x v="1"/>
    <n v="0"/>
    <n v="1"/>
    <n v="4"/>
  </r>
  <r>
    <n v="3502"/>
    <x v="260"/>
    <x v="0"/>
    <d v="2024-11-23T00:00:00"/>
    <x v="0"/>
    <n v="15"/>
    <x v="2"/>
    <x v="0"/>
    <x v="0"/>
    <x v="0"/>
    <n v="20"/>
    <n v="7"/>
    <n v="58"/>
  </r>
  <r>
    <n v="3503"/>
    <x v="119"/>
    <x v="2"/>
    <d v="2024-11-24T00:00:00"/>
    <x v="1"/>
    <n v="10"/>
    <x v="0"/>
    <x v="1"/>
    <x v="1"/>
    <x v="0"/>
    <n v="20"/>
    <n v="10"/>
    <n v="20"/>
  </r>
  <r>
    <n v="3504"/>
    <x v="261"/>
    <x v="1"/>
    <d v="2024-11-25T00:00:00"/>
    <x v="0"/>
    <n v="5"/>
    <x v="1"/>
    <x v="1"/>
    <x v="1"/>
    <x v="1"/>
    <n v="0"/>
    <n v="0"/>
    <n v="5"/>
  </r>
  <r>
    <n v="3505"/>
    <x v="262"/>
    <x v="0"/>
    <d v="2024-11-26T00:00:00"/>
    <x v="1"/>
    <n v="15"/>
    <x v="0"/>
    <x v="0"/>
    <x v="0"/>
    <x v="0"/>
    <n v="20"/>
    <n v="20"/>
    <n v="45"/>
  </r>
  <r>
    <n v="3506"/>
    <x v="263"/>
    <x v="2"/>
    <d v="2024-11-27T00:00:00"/>
    <x v="0"/>
    <n v="10"/>
    <x v="2"/>
    <x v="1"/>
    <x v="1"/>
    <x v="0"/>
    <n v="20"/>
    <n v="15"/>
    <n v="15"/>
  </r>
  <r>
    <n v="3507"/>
    <x v="264"/>
    <x v="1"/>
    <d v="2024-11-28T00:00:00"/>
    <x v="1"/>
    <n v="5"/>
    <x v="0"/>
    <x v="1"/>
    <x v="1"/>
    <x v="1"/>
    <n v="0"/>
    <n v="1"/>
    <n v="4"/>
  </r>
  <r>
    <n v="3508"/>
    <x v="265"/>
    <x v="0"/>
    <d v="2024-11-29T00:00:00"/>
    <x v="0"/>
    <n v="15"/>
    <x v="1"/>
    <x v="0"/>
    <x v="0"/>
    <x v="0"/>
    <n v="20"/>
    <n v="3"/>
    <n v="62"/>
  </r>
  <r>
    <n v="3509"/>
    <x v="266"/>
    <x v="2"/>
    <d v="2024-11-30T00:00:00"/>
    <x v="1"/>
    <n v="10"/>
    <x v="0"/>
    <x v="1"/>
    <x v="1"/>
    <x v="0"/>
    <n v="20"/>
    <n v="10"/>
    <n v="20"/>
  </r>
  <r>
    <n v="3510"/>
    <x v="267"/>
    <x v="1"/>
    <d v="2024-12-01T00:00:00"/>
    <x v="0"/>
    <n v="5"/>
    <x v="2"/>
    <x v="1"/>
    <x v="1"/>
    <x v="1"/>
    <n v="0"/>
    <n v="0"/>
    <n v="5"/>
  </r>
  <r>
    <n v="3511"/>
    <x v="268"/>
    <x v="0"/>
    <d v="2024-12-02T00:00:00"/>
    <x v="1"/>
    <n v="15"/>
    <x v="0"/>
    <x v="0"/>
    <x v="0"/>
    <x v="0"/>
    <n v="20"/>
    <n v="15"/>
    <n v="50"/>
  </r>
  <r>
    <n v="3512"/>
    <x v="269"/>
    <x v="2"/>
    <d v="2024-12-03T00:00:00"/>
    <x v="0"/>
    <n v="10"/>
    <x v="1"/>
    <x v="1"/>
    <x v="1"/>
    <x v="0"/>
    <n v="20"/>
    <n v="15"/>
    <n v="15"/>
  </r>
  <r>
    <n v="3513"/>
    <x v="270"/>
    <x v="1"/>
    <d v="2024-12-04T00:00:00"/>
    <x v="1"/>
    <n v="5"/>
    <x v="0"/>
    <x v="1"/>
    <x v="1"/>
    <x v="1"/>
    <n v="0"/>
    <n v="1"/>
    <n v="4"/>
  </r>
  <r>
    <n v="3514"/>
    <x v="271"/>
    <x v="0"/>
    <d v="2024-12-05T00:00:00"/>
    <x v="0"/>
    <n v="15"/>
    <x v="2"/>
    <x v="0"/>
    <x v="0"/>
    <x v="0"/>
    <n v="20"/>
    <n v="7"/>
    <n v="58"/>
  </r>
  <r>
    <n v="3515"/>
    <x v="130"/>
    <x v="2"/>
    <d v="2024-12-06T00:00:00"/>
    <x v="1"/>
    <n v="10"/>
    <x v="0"/>
    <x v="1"/>
    <x v="1"/>
    <x v="0"/>
    <n v="20"/>
    <n v="10"/>
    <n v="20"/>
  </r>
  <r>
    <n v="3516"/>
    <x v="131"/>
    <x v="1"/>
    <d v="2024-12-07T00:00:00"/>
    <x v="0"/>
    <n v="5"/>
    <x v="1"/>
    <x v="1"/>
    <x v="1"/>
    <x v="1"/>
    <n v="0"/>
    <n v="0"/>
    <n v="5"/>
  </r>
  <r>
    <n v="3517"/>
    <x v="181"/>
    <x v="0"/>
    <d v="2024-12-08T00:00:00"/>
    <x v="1"/>
    <n v="15"/>
    <x v="0"/>
    <x v="0"/>
    <x v="0"/>
    <x v="0"/>
    <n v="20"/>
    <n v="20"/>
    <n v="45"/>
  </r>
  <r>
    <n v="3518"/>
    <x v="272"/>
    <x v="2"/>
    <d v="2024-12-09T00:00:00"/>
    <x v="0"/>
    <n v="10"/>
    <x v="2"/>
    <x v="1"/>
    <x v="1"/>
    <x v="0"/>
    <n v="20"/>
    <n v="12"/>
    <n v="18"/>
  </r>
  <r>
    <n v="3519"/>
    <x v="273"/>
    <x v="1"/>
    <d v="2024-12-10T00:00:00"/>
    <x v="1"/>
    <n v="5"/>
    <x v="0"/>
    <x v="1"/>
    <x v="1"/>
    <x v="1"/>
    <n v="0"/>
    <n v="2"/>
    <n v="3"/>
  </r>
  <r>
    <n v="3520"/>
    <x v="274"/>
    <x v="0"/>
    <d v="2024-12-11T00:00:00"/>
    <x v="0"/>
    <n v="15"/>
    <x v="1"/>
    <x v="0"/>
    <x v="0"/>
    <x v="0"/>
    <n v="20"/>
    <n v="5"/>
    <n v="60"/>
  </r>
  <r>
    <n v="3521"/>
    <x v="275"/>
    <x v="2"/>
    <d v="2024-12-12T00:00:00"/>
    <x v="1"/>
    <n v="10"/>
    <x v="0"/>
    <x v="1"/>
    <x v="1"/>
    <x v="0"/>
    <n v="20"/>
    <n v="10"/>
    <n v="20"/>
  </r>
  <r>
    <n v="3522"/>
    <x v="276"/>
    <x v="1"/>
    <d v="2024-12-13T00:00:00"/>
    <x v="0"/>
    <n v="5"/>
    <x v="2"/>
    <x v="1"/>
    <x v="1"/>
    <x v="1"/>
    <n v="0"/>
    <n v="0"/>
    <n v="5"/>
  </r>
  <r>
    <n v="3523"/>
    <x v="277"/>
    <x v="0"/>
    <d v="2024-12-14T00:00:00"/>
    <x v="1"/>
    <n v="15"/>
    <x v="0"/>
    <x v="0"/>
    <x v="0"/>
    <x v="0"/>
    <n v="20"/>
    <n v="3"/>
    <n v="62"/>
  </r>
  <r>
    <n v="3524"/>
    <x v="278"/>
    <x v="2"/>
    <d v="2024-12-15T00:00:00"/>
    <x v="0"/>
    <n v="10"/>
    <x v="1"/>
    <x v="1"/>
    <x v="1"/>
    <x v="0"/>
    <n v="20"/>
    <n v="15"/>
    <n v="15"/>
  </r>
  <r>
    <n v="3525"/>
    <x v="279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49ED2-2A7F-44DE-ABA6-389F4AC1C313}" name="Tabela dinâmica6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showAll="0">
      <items count="4">
        <item h="1"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3B615-653A-443D-9150-4CE77D4F5A1D}" name="tbl_easeasonpass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h="1"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F684F-4DCE-454B-B7CE-DC68111132D1}" name="tbl_annual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21C8112-9EDF-45A1-BDAB-953044F5BEE2}" sourceName="Subscription Type">
  <pivotTables>
    <pivotTable tabId="3" name="tbl_annual_total"/>
    <pivotTable tabId="3" name="tbl_easeasonpass_total"/>
    <pivotTable tabId="3" name="Tabela dinâmica6"/>
  </pivotTables>
  <data>
    <tabular pivotCacheId="1822062260">
      <items count="3">
        <i x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9CDB506-9AB2-43EE-848B-894363A065EF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H3" sqref="H3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H3" sqref="H3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D36"/>
  <sheetViews>
    <sheetView showGridLines="0" topLeftCell="A19" workbookViewId="0">
      <selection activeCell="H3" sqref="H3"/>
    </sheetView>
  </sheetViews>
  <sheetFormatPr defaultRowHeight="1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>
      <c r="B3" t="s">
        <v>316</v>
      </c>
      <c r="C3" t="s">
        <v>319</v>
      </c>
    </row>
    <row r="4" spans="2:3">
      <c r="B4" t="s">
        <v>317</v>
      </c>
      <c r="C4" t="s">
        <v>318</v>
      </c>
    </row>
    <row r="7" spans="2:3">
      <c r="B7" s="12" t="s">
        <v>16</v>
      </c>
      <c r="C7" t="s">
        <v>326</v>
      </c>
    </row>
    <row r="9" spans="2:3">
      <c r="B9" s="12" t="s">
        <v>313</v>
      </c>
      <c r="C9" t="s">
        <v>315</v>
      </c>
    </row>
    <row r="10" spans="2:3">
      <c r="B10" s="13" t="s">
        <v>23</v>
      </c>
      <c r="C10" s="14">
        <v>3630</v>
      </c>
    </row>
    <row r="11" spans="2:3">
      <c r="B11" s="13" t="s">
        <v>19</v>
      </c>
      <c r="C11" s="14">
        <v>2249</v>
      </c>
    </row>
    <row r="12" spans="2:3">
      <c r="B12" s="13" t="s">
        <v>314</v>
      </c>
      <c r="C12" s="14">
        <v>5879</v>
      </c>
    </row>
    <row r="16" spans="2:3">
      <c r="B16" t="s">
        <v>321</v>
      </c>
      <c r="C16" t="s">
        <v>322</v>
      </c>
    </row>
    <row r="18" spans="2:4">
      <c r="B18" s="12" t="s">
        <v>16</v>
      </c>
      <c r="C18" t="s">
        <v>326</v>
      </c>
    </row>
    <row r="20" spans="2:4">
      <c r="B20" s="12" t="s">
        <v>313</v>
      </c>
      <c r="C20" t="s">
        <v>323</v>
      </c>
    </row>
    <row r="21" spans="2:4">
      <c r="B21" s="13" t="s">
        <v>22</v>
      </c>
      <c r="C21" s="19">
        <v>0</v>
      </c>
    </row>
    <row r="22" spans="2:4">
      <c r="B22" s="13" t="s">
        <v>26</v>
      </c>
      <c r="C22" s="19">
        <v>0</v>
      </c>
    </row>
    <row r="23" spans="2:4">
      <c r="B23" s="13" t="s">
        <v>18</v>
      </c>
      <c r="C23" s="19">
        <v>2340</v>
      </c>
    </row>
    <row r="24" spans="2:4">
      <c r="B24" s="13" t="s">
        <v>314</v>
      </c>
      <c r="C24" s="19">
        <v>2340</v>
      </c>
      <c r="D24" s="20">
        <f>GETPIVOTDATA("EA Play Season Pass
Price",$B$20)</f>
        <v>2340</v>
      </c>
    </row>
    <row r="27" spans="2:4">
      <c r="B27" s="13" t="s">
        <v>324</v>
      </c>
    </row>
    <row r="32" spans="2:4">
      <c r="B32" s="12" t="s">
        <v>313</v>
      </c>
      <c r="C32" t="s">
        <v>325</v>
      </c>
    </row>
    <row r="33" spans="2:4">
      <c r="B33" s="13" t="s">
        <v>22</v>
      </c>
      <c r="C33" s="14">
        <v>0</v>
      </c>
    </row>
    <row r="34" spans="2:4">
      <c r="B34" s="13" t="s">
        <v>26</v>
      </c>
      <c r="C34" s="14">
        <v>1380</v>
      </c>
    </row>
    <row r="35" spans="2:4">
      <c r="B35" s="13" t="s">
        <v>18</v>
      </c>
      <c r="C35" s="14">
        <v>1560</v>
      </c>
    </row>
    <row r="36" spans="2:4">
      <c r="B36" s="13" t="s">
        <v>314</v>
      </c>
      <c r="C36" s="14">
        <v>2940</v>
      </c>
      <c r="D36" s="20">
        <f>GETPIVOTDATA("Minecraft Season Pass Price",$B$32)</f>
        <v>2940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8"/>
  <sheetViews>
    <sheetView showGridLines="0" showRowColHeaders="0" tabSelected="1" zoomScale="60" zoomScaleNormal="60" workbookViewId="0">
      <selection activeCell="A19" sqref="A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41.85546875" style="16" customWidth="1"/>
    <col min="2" max="2" width="3.5703125" style="7" customWidth="1"/>
    <col min="3" max="11" width="9.140625" style="7"/>
    <col min="12" max="12" width="6.5703125" style="7" customWidth="1"/>
    <col min="13" max="16384" width="9.140625" style="7"/>
  </cols>
  <sheetData>
    <row r="1" spans="1:23" customFormat="1">
      <c r="A1" s="16"/>
    </row>
    <row r="2" spans="1:23" customFormat="1" ht="39" customHeight="1" thickBot="1">
      <c r="A2" s="16"/>
      <c r="C2" s="22" t="s">
        <v>320</v>
      </c>
      <c r="D2" s="23"/>
      <c r="E2" s="17"/>
      <c r="F2" s="15"/>
      <c r="G2" s="17"/>
      <c r="H2" s="17"/>
      <c r="I2" s="18"/>
      <c r="J2" s="18"/>
      <c r="K2" s="18"/>
      <c r="L2" s="18"/>
      <c r="M2" s="18"/>
      <c r="N2" s="18"/>
      <c r="O2" s="18"/>
      <c r="P2" s="21"/>
      <c r="Q2" s="21"/>
      <c r="R2" s="21"/>
      <c r="S2" s="21"/>
      <c r="T2" s="21"/>
      <c r="U2" s="21"/>
      <c r="V2" s="21"/>
      <c r="W2" s="21"/>
    </row>
    <row r="3" spans="1:23" customFormat="1" ht="39" customHeight="1" thickTop="1">
      <c r="A3" s="16"/>
    </row>
    <row r="4" spans="1:23" ht="8.25" customHeight="1"/>
    <row r="5" spans="1:23" ht="7.5" customHeight="1"/>
    <row r="6" spans="1:23" ht="10.5" customHeight="1"/>
    <row r="7" spans="1:23" ht="9.75" customHeight="1"/>
    <row r="8" spans="1:23" ht="33" customHeight="1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Débora Souza Santos</cp:lastModifiedBy>
  <dcterms:created xsi:type="dcterms:W3CDTF">2024-12-19T13:13:10Z</dcterms:created>
  <dcterms:modified xsi:type="dcterms:W3CDTF">2026-10-17T03:16:33Z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